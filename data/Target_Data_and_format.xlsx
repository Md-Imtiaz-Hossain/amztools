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imtiazhossain/Downloads/file/FBA Product Analyzer/amazon-wholesale-tool/"/>
    </mc:Choice>
  </mc:AlternateContent>
  <xr:revisionPtr revIDLastSave="0" documentId="13_ncr:1_{C377BFCB-CCB0-3648-B240-74AA837E1A28}" xr6:coauthVersionLast="47" xr6:coauthVersionMax="47" xr10:uidLastSave="{00000000-0000-0000-0000-000000000000}"/>
  <bookViews>
    <workbookView xWindow="3840" yWindow="680" windowWidth="21760" windowHeight="143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2" i="1" l="1"/>
  <c r="AR82" i="1"/>
  <c r="K82" i="1"/>
  <c r="H82" i="1"/>
  <c r="AS81" i="1"/>
  <c r="AR81" i="1"/>
  <c r="K81" i="1"/>
  <c r="AS80" i="1"/>
  <c r="AR80" i="1"/>
  <c r="K80" i="1"/>
  <c r="H80" i="1"/>
  <c r="AS79" i="1"/>
  <c r="AR79" i="1"/>
  <c r="K79" i="1"/>
  <c r="H79" i="1"/>
  <c r="AS78" i="1"/>
  <c r="AR78" i="1"/>
  <c r="K78" i="1"/>
  <c r="H78" i="1"/>
  <c r="AS77" i="1"/>
  <c r="AR77" i="1"/>
  <c r="K77" i="1"/>
  <c r="H77" i="1"/>
  <c r="AS76" i="1"/>
  <c r="AR76" i="1"/>
  <c r="K76" i="1"/>
  <c r="AS75" i="1"/>
  <c r="AR75" i="1"/>
  <c r="K75" i="1"/>
  <c r="H75" i="1"/>
  <c r="AS74" i="1"/>
  <c r="AR74" i="1"/>
  <c r="K74" i="1"/>
  <c r="H74" i="1"/>
  <c r="AS73" i="1"/>
  <c r="AR73" i="1"/>
  <c r="K73" i="1"/>
  <c r="H73" i="1"/>
  <c r="AS72" i="1"/>
  <c r="AR72" i="1"/>
  <c r="K72" i="1"/>
  <c r="H72" i="1"/>
  <c r="AS71" i="1"/>
  <c r="AR71" i="1"/>
  <c r="K71" i="1"/>
  <c r="H71" i="1"/>
  <c r="AS70" i="1"/>
  <c r="AR70" i="1"/>
  <c r="K70" i="1"/>
  <c r="H70" i="1"/>
  <c r="AS69" i="1"/>
  <c r="AR69" i="1"/>
  <c r="K69" i="1"/>
  <c r="AS68" i="1"/>
  <c r="AR68" i="1"/>
  <c r="K68" i="1"/>
  <c r="H68" i="1"/>
  <c r="AS67" i="1"/>
  <c r="AR67" i="1"/>
  <c r="K67" i="1"/>
  <c r="AS66" i="1"/>
  <c r="AR66" i="1"/>
  <c r="K66" i="1"/>
  <c r="H66" i="1"/>
  <c r="AS65" i="1"/>
  <c r="AR65" i="1"/>
  <c r="K65" i="1"/>
  <c r="H65" i="1"/>
  <c r="AS64" i="1"/>
  <c r="AR64" i="1"/>
  <c r="K64" i="1"/>
  <c r="AS63" i="1"/>
  <c r="AR63" i="1"/>
  <c r="K63" i="1"/>
  <c r="AS62" i="1"/>
  <c r="AR62" i="1"/>
  <c r="K62" i="1"/>
  <c r="H62" i="1"/>
  <c r="AS61" i="1"/>
  <c r="AR61" i="1"/>
  <c r="K61" i="1"/>
  <c r="H61" i="1"/>
  <c r="AS60" i="1"/>
  <c r="AR60" i="1"/>
  <c r="K60" i="1"/>
  <c r="H60" i="1"/>
  <c r="AS59" i="1"/>
  <c r="AR59" i="1"/>
  <c r="K59" i="1"/>
  <c r="H59" i="1"/>
  <c r="AS58" i="1"/>
  <c r="AR58" i="1"/>
  <c r="K58" i="1"/>
  <c r="H58" i="1"/>
  <c r="AS57" i="1"/>
  <c r="AR57" i="1"/>
  <c r="K57" i="1"/>
  <c r="AS56" i="1"/>
  <c r="AR56" i="1"/>
  <c r="K56" i="1"/>
  <c r="H56" i="1"/>
  <c r="AS55" i="1"/>
  <c r="AR55" i="1"/>
  <c r="K55" i="1"/>
  <c r="H55" i="1"/>
  <c r="AS54" i="1"/>
  <c r="AR54" i="1"/>
  <c r="K54" i="1"/>
  <c r="AS53" i="1"/>
  <c r="AR53" i="1"/>
  <c r="K53" i="1"/>
  <c r="AS52" i="1"/>
  <c r="AR52" i="1"/>
  <c r="K52" i="1"/>
  <c r="AS51" i="1"/>
  <c r="AR51" i="1"/>
  <c r="K51" i="1"/>
  <c r="AS50" i="1"/>
  <c r="AR50" i="1"/>
  <c r="K50" i="1"/>
  <c r="H50" i="1"/>
  <c r="AS49" i="1"/>
  <c r="AR49" i="1"/>
  <c r="K49" i="1"/>
  <c r="AS48" i="1"/>
  <c r="AR48" i="1"/>
  <c r="K48" i="1"/>
  <c r="H48" i="1"/>
  <c r="AS47" i="1"/>
  <c r="AR47" i="1"/>
  <c r="K47" i="1"/>
  <c r="H47" i="1"/>
  <c r="AS46" i="1"/>
  <c r="AR46" i="1"/>
  <c r="K46" i="1"/>
  <c r="AS45" i="1"/>
  <c r="AR45" i="1"/>
  <c r="K45" i="1"/>
  <c r="H45" i="1"/>
  <c r="AS44" i="1"/>
  <c r="AR44" i="1"/>
  <c r="K44" i="1"/>
  <c r="AS43" i="1"/>
  <c r="AR43" i="1"/>
  <c r="K43" i="1"/>
  <c r="H43" i="1"/>
  <c r="AS42" i="1"/>
  <c r="AR42" i="1"/>
  <c r="K42" i="1"/>
  <c r="H42" i="1"/>
  <c r="AS41" i="1"/>
  <c r="AR41" i="1"/>
  <c r="K41" i="1"/>
  <c r="AS40" i="1"/>
  <c r="AR40" i="1"/>
  <c r="K40" i="1"/>
  <c r="AS39" i="1"/>
  <c r="AR39" i="1"/>
  <c r="K39" i="1"/>
  <c r="H39" i="1"/>
  <c r="AS38" i="1"/>
  <c r="AR38" i="1"/>
  <c r="K38" i="1"/>
  <c r="H38" i="1"/>
  <c r="AS37" i="1"/>
  <c r="AR37" i="1"/>
  <c r="K37" i="1"/>
  <c r="AS36" i="1"/>
  <c r="AR36" i="1"/>
  <c r="K36" i="1"/>
  <c r="AS35" i="1"/>
  <c r="AR35" i="1"/>
  <c r="K35" i="1"/>
  <c r="H35" i="1"/>
  <c r="AS34" i="1"/>
  <c r="AR34" i="1"/>
  <c r="K34" i="1"/>
  <c r="H34" i="1"/>
  <c r="AS33" i="1"/>
  <c r="AR33" i="1"/>
  <c r="K33" i="1"/>
  <c r="AS32" i="1"/>
  <c r="AR32" i="1"/>
  <c r="K32" i="1"/>
  <c r="H32" i="1"/>
  <c r="AS31" i="1"/>
  <c r="AR31" i="1"/>
  <c r="K31" i="1"/>
  <c r="AS30" i="1"/>
  <c r="AR30" i="1"/>
  <c r="K30" i="1"/>
  <c r="H30" i="1"/>
  <c r="AS29" i="1"/>
  <c r="AR29" i="1"/>
  <c r="K29" i="1"/>
  <c r="AS28" i="1"/>
  <c r="AR28" i="1"/>
  <c r="K28" i="1"/>
  <c r="AS27" i="1"/>
  <c r="AR27" i="1"/>
  <c r="K27" i="1"/>
  <c r="H27" i="1"/>
  <c r="AS26" i="1"/>
  <c r="AR26" i="1"/>
  <c r="K26" i="1"/>
  <c r="AS25" i="1"/>
  <c r="AR25" i="1"/>
  <c r="K25" i="1"/>
  <c r="H25" i="1"/>
  <c r="AS24" i="1"/>
  <c r="AR24" i="1"/>
  <c r="K24" i="1"/>
  <c r="AS23" i="1"/>
  <c r="AR23" i="1"/>
  <c r="K23" i="1"/>
  <c r="H23" i="1"/>
  <c r="AS22" i="1"/>
  <c r="AR22" i="1"/>
  <c r="K22" i="1"/>
  <c r="AS21" i="1"/>
  <c r="AR21" i="1"/>
  <c r="K21" i="1"/>
  <c r="H21" i="1"/>
  <c r="AS20" i="1"/>
  <c r="AR20" i="1"/>
  <c r="K20" i="1"/>
  <c r="H20" i="1"/>
  <c r="AS19" i="1"/>
  <c r="AR19" i="1"/>
  <c r="K19" i="1"/>
  <c r="AS18" i="1"/>
  <c r="AR18" i="1"/>
  <c r="K18" i="1"/>
  <c r="AS17" i="1"/>
  <c r="AR17" i="1"/>
  <c r="K17" i="1"/>
  <c r="AS16" i="1"/>
  <c r="AR16" i="1"/>
  <c r="K16" i="1"/>
  <c r="H16" i="1"/>
  <c r="AS15" i="1"/>
  <c r="AR15" i="1"/>
  <c r="K15" i="1"/>
  <c r="H15" i="1"/>
  <c r="AS14" i="1"/>
  <c r="AR14" i="1"/>
  <c r="K14" i="1"/>
  <c r="AS13" i="1"/>
  <c r="AR13" i="1"/>
  <c r="K13" i="1"/>
  <c r="AS12" i="1"/>
  <c r="AR12" i="1"/>
  <c r="K12" i="1"/>
  <c r="AS11" i="1"/>
  <c r="AR11" i="1"/>
  <c r="K11" i="1"/>
  <c r="AS10" i="1"/>
  <c r="AR10" i="1"/>
  <c r="K10" i="1"/>
  <c r="AS9" i="1"/>
  <c r="AR9" i="1"/>
  <c r="K9" i="1"/>
  <c r="H9" i="1"/>
  <c r="AS8" i="1"/>
  <c r="AR8" i="1"/>
  <c r="K8" i="1"/>
  <c r="AS7" i="1"/>
  <c r="AR7" i="1"/>
  <c r="K7" i="1"/>
  <c r="H7" i="1"/>
  <c r="AS6" i="1"/>
  <c r="AR6" i="1"/>
  <c r="K6" i="1"/>
  <c r="AS5" i="1"/>
  <c r="AR5" i="1"/>
  <c r="K5" i="1"/>
  <c r="H5" i="1"/>
  <c r="AS4" i="1"/>
  <c r="AR4" i="1"/>
  <c r="K4" i="1"/>
  <c r="AS3" i="1"/>
  <c r="AR3" i="1"/>
  <c r="K3" i="1"/>
  <c r="AS2" i="1"/>
  <c r="AR2" i="1"/>
  <c r="K2" i="1"/>
  <c r="H2" i="1"/>
</calcChain>
</file>

<file path=xl/sharedStrings.xml><?xml version="1.0" encoding="utf-8"?>
<sst xmlns="http://schemas.openxmlformats.org/spreadsheetml/2006/main" count="1429" uniqueCount="560">
  <si>
    <t>ASIN</t>
  </si>
  <si>
    <t>Parent ASIN</t>
  </si>
  <si>
    <t>Favorite</t>
  </si>
  <si>
    <t>Product ID</t>
  </si>
  <si>
    <t>Brand</t>
  </si>
  <si>
    <t>Brand Restriction</t>
  </si>
  <si>
    <t>Selling Restriction</t>
  </si>
  <si>
    <t>Selling Restriction Link</t>
  </si>
  <si>
    <t>Title</t>
  </si>
  <si>
    <t>Package Quantity</t>
  </si>
  <si>
    <t>Amazon Link</t>
  </si>
  <si>
    <t>Current Est Sales</t>
  </si>
  <si>
    <t>Profit</t>
  </si>
  <si>
    <t>Margin</t>
  </si>
  <si>
    <t>ROI</t>
  </si>
  <si>
    <t>Is Top Level Category</t>
  </si>
  <si>
    <t>Category</t>
  </si>
  <si>
    <t>Sales Rank</t>
  </si>
  <si>
    <t>Cost</t>
  </si>
  <si>
    <t>Break Even Sell Price</t>
  </si>
  <si>
    <t>Sell Price</t>
  </si>
  <si>
    <t>Buybox Landed</t>
  </si>
  <si>
    <t>Lowest FBA</t>
  </si>
  <si>
    <t>Lowest FBM</t>
  </si>
  <si>
    <t>Referral Fee</t>
  </si>
  <si>
    <t>Inbound Placement Fee</t>
  </si>
  <si>
    <t>Fulfillment Subtotal</t>
  </si>
  <si>
    <t>Cost Subtotal</t>
  </si>
  <si>
    <t>Seller Proceeds</t>
  </si>
  <si>
    <t>VAT %</t>
  </si>
  <si>
    <t>VAT $</t>
  </si>
  <si>
    <t>Inbound Shipping Estimate</t>
  </si>
  <si>
    <t>Package Dimensions (in)</t>
  </si>
  <si>
    <t>Package Weight (lb)</t>
  </si>
  <si>
    <t>Total Offers</t>
  </si>
  <si>
    <t>New FBA Offers</t>
  </si>
  <si>
    <t>New FBM Offers</t>
  </si>
  <si>
    <t>BuyBox Contention</t>
  </si>
  <si>
    <t>Manufacturer</t>
  </si>
  <si>
    <t>Color</t>
  </si>
  <si>
    <t>Model</t>
  </si>
  <si>
    <t>Part Number</t>
  </si>
  <si>
    <t>Is Hazmat</t>
  </si>
  <si>
    <t>Keepa</t>
  </si>
  <si>
    <t>CamelCC</t>
  </si>
  <si>
    <t>Custom Notes</t>
  </si>
  <si>
    <t>Last Run</t>
  </si>
  <si>
    <t>False</t>
  </si>
  <si>
    <t>not eligible</t>
  </si>
  <si>
    <t>True</t>
  </si>
  <si>
    <t>Beauty &amp; Personal Care</t>
  </si>
  <si>
    <t/>
  </si>
  <si>
    <t>716170027456</t>
  </si>
  <si>
    <t>Bobbi Brown</t>
  </si>
  <si>
    <t>La Mer</t>
  </si>
  <si>
    <t>773602069989</t>
  </si>
  <si>
    <t>MAC</t>
  </si>
  <si>
    <t>747930029830</t>
  </si>
  <si>
    <t>B009QZ5YME</t>
  </si>
  <si>
    <t>3605521489654</t>
  </si>
  <si>
    <t>Helena Rubinstein</t>
  </si>
  <si>
    <t>approval required</t>
  </si>
  <si>
    <t>Helena Rubinstein Prodigy Re-Plasty Age Recovery Skin Regeneration Accelerating Night Care 50ml/1.75oz</t>
  </si>
  <si>
    <t>3.86 x 3.78 x 3.7</t>
  </si>
  <si>
    <t>Red</t>
  </si>
  <si>
    <t>RBN00092</t>
  </si>
  <si>
    <t>B00BH4KLJI</t>
  </si>
  <si>
    <t>B0DHY97X8S</t>
  </si>
  <si>
    <t>747930013549</t>
  </si>
  <si>
    <t>La Mer Moisturizing Cream 3.4 Ounce</t>
  </si>
  <si>
    <t>4.17 x 3.9 x 3.7</t>
  </si>
  <si>
    <t>Cranberry</t>
  </si>
  <si>
    <t>U-SC-3229</t>
  </si>
  <si>
    <t>B00CCM5DEM</t>
  </si>
  <si>
    <t>La Mer Skincare Travel Size 4pcs (travel size)</t>
  </si>
  <si>
    <t>Beauty</t>
  </si>
  <si>
    <t>USA</t>
  </si>
  <si>
    <t>B63</t>
  </si>
  <si>
    <t>B00COWZM3W</t>
  </si>
  <si>
    <t>Helena rubinsutain (helena Rubinstein) ripurasutexi R. C. Cream 50ml [parallel import goods]</t>
  </si>
  <si>
    <t>3.74 x 3.74 x 3.66</t>
  </si>
  <si>
    <t>870-89654</t>
  </si>
  <si>
    <t>B00DHCOEAA</t>
  </si>
  <si>
    <t>Bobbi Brown Vitamin Enriched Face Base By Bobbi Brown For Unisex - 1.7 Oz Moisturizer 1.7 oz</t>
  </si>
  <si>
    <t>2.48 x 2.4 x 1.93</t>
  </si>
  <si>
    <t>0716170027456</t>
  </si>
  <si>
    <t>B00PSAJZX0</t>
  </si>
  <si>
    <t>819002011460</t>
  </si>
  <si>
    <t>Algenist</t>
  </si>
  <si>
    <t>Algenist GENIUS Ultimate Anti-Aging Eye Cream - Brightening &amp; Firming Eye Cream with Vegan Collagen &amp; Alguronic Acid - Helps Reduce Dark Circles, Puffiness &amp; Fine Lines (0.5 fl oz)</t>
  </si>
  <si>
    <t>2.36 x 2.24 x 1.97</t>
  </si>
  <si>
    <t>202025194</t>
  </si>
  <si>
    <t>SDP391</t>
  </si>
  <si>
    <t>B00RN1J40G</t>
  </si>
  <si>
    <t>3337875553278</t>
  </si>
  <si>
    <t>VICHY</t>
  </si>
  <si>
    <t>Mineral Deodorant Roll On</t>
  </si>
  <si>
    <t>3.31 x 1.61 x 1.54</t>
  </si>
  <si>
    <t>B010S8EJC8</t>
  </si>
  <si>
    <t>herenarubinsutain ripurasutexi R. C. Cream 50ml [489654] [parallel import goods]</t>
  </si>
  <si>
    <t>3.78 x 3.7 x 3.62</t>
  </si>
  <si>
    <t>B016F8M2MY</t>
  </si>
  <si>
    <t>9319944006322</t>
  </si>
  <si>
    <t>Aesop</t>
  </si>
  <si>
    <t>Aesop Protective Lip Balm 5.5g/2oz</t>
  </si>
  <si>
    <t>6.65 x 2.76 x 0.75</t>
  </si>
  <si>
    <t>B01H67SJE8</t>
  </si>
  <si>
    <t>Goldwell</t>
  </si>
  <si>
    <t>Goldwell Topchic Permanent Hair Color, 8ca Cool Ash, 8.6 oz</t>
  </si>
  <si>
    <t>Prestige Beauty</t>
  </si>
  <si>
    <t>8.58 x 2.05 x 2.05</t>
  </si>
  <si>
    <t>Mainspring America, Inc. DBA Direct Cosmetics</t>
  </si>
  <si>
    <t>8ca Cool Ash</t>
  </si>
  <si>
    <t>4021609363941</t>
  </si>
  <si>
    <t>B01J5GBKH6</t>
  </si>
  <si>
    <t>022548430057</t>
  </si>
  <si>
    <t>Lab Series</t>
  </si>
  <si>
    <t>Lab Series Rescue Water Lotion, 6.7 Ounce</t>
  </si>
  <si>
    <t>6.57 x 2.17 x 1.61</t>
  </si>
  <si>
    <t>Universal Perfumes -- Dropship</t>
  </si>
  <si>
    <t>No Color</t>
  </si>
  <si>
    <t>022548367001</t>
  </si>
  <si>
    <t>B01N5H6JIU</t>
  </si>
  <si>
    <t>747930059561</t>
  </si>
  <si>
    <t>La Mer The Revitalizing Hydrating Serum 30ml/1oz</t>
  </si>
  <si>
    <t>5.43 x 1.85 x 1.81</t>
  </si>
  <si>
    <t>transparent</t>
  </si>
  <si>
    <t>0747930059561</t>
  </si>
  <si>
    <t>B01N5K834V</t>
  </si>
  <si>
    <t>B0CJBY28XJ</t>
  </si>
  <si>
    <t>8809082392292</t>
  </si>
  <si>
    <t>ma:nyo</t>
  </si>
  <si>
    <t>MANYO Pure Cleansing Oil, Makeup Remover, Blackhead &amp; Pore Care, 6.76 fl oz</t>
  </si>
  <si>
    <t>7.72 x 1.97 x 1.93</t>
  </si>
  <si>
    <t>CLAGEN</t>
  </si>
  <si>
    <t>92292</t>
  </si>
  <si>
    <t>B06XKSHM2L</t>
  </si>
  <si>
    <t>8809480781117</t>
  </si>
  <si>
    <t>SHANGPREE</t>
  </si>
  <si>
    <t>SHANGPREE Marine Energy Eye Mask (Eyepatches) 30 Pairs, Hydration &amp; Soothing Relief, Spirulina &amp; Marine Complex, Sooth &amp; Revive Tired Eyes, Cooling &amp; Refreshing, for Sensitive Skin</t>
  </si>
  <si>
    <t>3.15 x 3.07 x 1.65</t>
  </si>
  <si>
    <t>Shangpree</t>
  </si>
  <si>
    <t>SHANG10</t>
  </si>
  <si>
    <t>B075R93LH4</t>
  </si>
  <si>
    <t>B08NKC6G2P</t>
  </si>
  <si>
    <t>818356022634</t>
  </si>
  <si>
    <t>Algenist GENIUS Liquid Collagen Serum - Firming and Hydrating Face Serum with Collagen + Vitamin E - Helps Visibly Minimize Fine Lines + Wrinkles and Improve Elasticity (30ml)</t>
  </si>
  <si>
    <t>6.02 x 2.76 x 2.72</t>
  </si>
  <si>
    <t>White</t>
  </si>
  <si>
    <t>SG_B075R93LH4_US</t>
  </si>
  <si>
    <t>SDP647</t>
  </si>
  <si>
    <t>B07BWKBRS5</t>
  </si>
  <si>
    <t>8809581449268</t>
  </si>
  <si>
    <t>MISSHA</t>
  </si>
  <si>
    <t>Missha Magic Cushion Moist Up No. 21 Light Beige for bright skin, Hydrating 3-in-1 Moisture Korean Cushion Foundation, Long-lasting, High Coverage, for All Skin Types</t>
  </si>
  <si>
    <t>3.11 x 3.07 x 1.06</t>
  </si>
  <si>
    <t>Light Beige #21 (Moist up)</t>
  </si>
  <si>
    <t>88095814492</t>
  </si>
  <si>
    <t>B07FDHRZ6Y</t>
  </si>
  <si>
    <t>773602455942</t>
  </si>
  <si>
    <t>Mac Prep + Prime Mac Fix + Matte 100 ml</t>
  </si>
  <si>
    <t>5.75 x 1.93 x 1.89</t>
  </si>
  <si>
    <t>Clear</t>
  </si>
  <si>
    <t>55942</t>
  </si>
  <si>
    <t>B07R2D77FC</t>
  </si>
  <si>
    <t>747930098928</t>
  </si>
  <si>
    <t>La Mer The Lip Volumizer 7 Milliliter, 0.23 Ounce</t>
  </si>
  <si>
    <t>4.72 x 1.14 x 1.1</t>
  </si>
  <si>
    <t>Sheer Shine</t>
  </si>
  <si>
    <t>0747930098928</t>
  </si>
  <si>
    <t>B07SL2NXGT</t>
  </si>
  <si>
    <t>B08MQNQ36V</t>
  </si>
  <si>
    <t>8809625240486</t>
  </si>
  <si>
    <t>rom&amp;nd</t>
  </si>
  <si>
    <t>rom&amp;nd Better than Eyes 4 Color Mini Palette, 03 Dry Ragras, Eye Shadow Palette, Daily Natural Shades, Blendable, Rich Colors, Velvety Texture, Matte &amp; Shimmer, High Pigmented, Long Lasting</t>
  </si>
  <si>
    <t>2.72 x 2.56 x 0.67</t>
  </si>
  <si>
    <t>03 DRY RAGRAS</t>
  </si>
  <si>
    <t>3304.20-1000</t>
  </si>
  <si>
    <t>B07SNB6B6X</t>
  </si>
  <si>
    <t>8809625240479</t>
  </si>
  <si>
    <t>Rom&amp;nd Better Than Eyeshadow 6.5g</t>
  </si>
  <si>
    <t>8.82 x 2.76 x 0.75</t>
  </si>
  <si>
    <t>Rom&amp;nd</t>
  </si>
  <si>
    <t>02 Dry Rose</t>
  </si>
  <si>
    <t>ROMAND</t>
  </si>
  <si>
    <t>B07VXBPG57</t>
  </si>
  <si>
    <t>La Mer The Moisturizing Soft Cream, 3.4 Oz</t>
  </si>
  <si>
    <t>4.17 x 4.02 x 3.94</t>
  </si>
  <si>
    <t>BP79503354</t>
  </si>
  <si>
    <t>B07YTVV8WM</t>
  </si>
  <si>
    <t>8809625241100</t>
  </si>
  <si>
    <t>romand Better Than Eyes 6 colors | Basics Eyeshadow Palette,Velvety Texture, long-lasting makeup, Galaxy pearl glitter, MLBB, MEBB| 6g/0.21oz No.M02 DRY BUCKWHEAT FLOWER</t>
  </si>
  <si>
    <t>2.68 x 2.56 x 0.67</t>
  </si>
  <si>
    <t>M02 Dry Buckwheat</t>
  </si>
  <si>
    <t>B0822HR335</t>
  </si>
  <si>
    <t>B0HC18JPK9</t>
  </si>
  <si>
    <t>8809467633897</t>
  </si>
  <si>
    <t>JUNG SAEM MOOL</t>
  </si>
  <si>
    <t>Skin Nuder Cushion | Korean Makeup, Refill Included, SPF 50 (17 Fair Pink)</t>
  </si>
  <si>
    <t>3.23 x 2.95 x 2.36</t>
  </si>
  <si>
    <t>JUNGSAEMMOOL</t>
  </si>
  <si>
    <t>[SPF] 17 Fair Pink</t>
  </si>
  <si>
    <t>1076674618</t>
  </si>
  <si>
    <t>B0855YC9JX</t>
  </si>
  <si>
    <t>8809625241353</t>
  </si>
  <si>
    <t>rom&amp;nd MASSIVE LIP OIL</t>
  </si>
  <si>
    <t>4.45 x 0.75 x 0.71</t>
  </si>
  <si>
    <t>No.04 VINTAGE OCCAN</t>
  </si>
  <si>
    <t>ROM-003-004</t>
  </si>
  <si>
    <t>B0855YR5F3</t>
  </si>
  <si>
    <t>8809625241322</t>
  </si>
  <si>
    <t>rom&amp;nd] Glasting Water Tint 8 colors | Vivid color, Glossy Finish, Long-lasting, moisturizing, Highlighting, Natural-beauty | Lip Tint for Daily Use, K-beauty | 4g/0.14oz No.02 RED DROP</t>
  </si>
  <si>
    <t>4.29 x 0.75 x 0.75</t>
  </si>
  <si>
    <t>ROM-003-002</t>
  </si>
  <si>
    <t>B086286K7K</t>
  </si>
  <si>
    <t>8801046306468</t>
  </si>
  <si>
    <t>AGE20'S</t>
  </si>
  <si>
    <t>AGE20'S Signature Essence Pact SPF 50+ | Pack of 2 | 23 Medium Beige | Cream Foundation, Dewy Finish, Natural Coverage | Korean Cushion Foundation</t>
  </si>
  <si>
    <t>4.17 x 4.09 x 3.31</t>
  </si>
  <si>
    <t>#23 Medium Beige</t>
  </si>
  <si>
    <t>LHB24-AEK0007.2</t>
  </si>
  <si>
    <t>B08628SJ46</t>
  </si>
  <si>
    <t>8801046306451</t>
  </si>
  <si>
    <t>AGE20'S Signature Essence Pact SPF 50+ | Pack of 2 | 21 Light Beige | Cream Foundation, Dewy Finish, Natural Coverage | Korean Cushion Foundation</t>
  </si>
  <si>
    <t>7.44 x 4.02 x 3.31</t>
  </si>
  <si>
    <t>beige</t>
  </si>
  <si>
    <t>LHB24-AEK0007.1</t>
  </si>
  <si>
    <t>B08628Y7DY</t>
  </si>
  <si>
    <t>8801046306420</t>
  </si>
  <si>
    <t>AGE20'S Signature Essence Pact SPF 50+ | Pack of 2 | 13 Ivory | Cream Foundation, Dewy Finish, Natural Coverage | Korean Cushion Foundation</t>
  </si>
  <si>
    <t>4.25 x 4.06 x 3.31</t>
  </si>
  <si>
    <t>Beige</t>
  </si>
  <si>
    <t>AGE6078169V13_FBA</t>
  </si>
  <si>
    <t>B087BHZQQV</t>
  </si>
  <si>
    <t>B0834LH3JS</t>
  </si>
  <si>
    <t>8809625240301</t>
  </si>
  <si>
    <t>rom&amp;nd Juicy Lasting Tint 09 LITCHI CORAL - Long-lasting, MLBB, Clear &amp; Natural Makeup, K-beauty Lips, 5.5g | 0.2 oz</t>
  </si>
  <si>
    <t>4.02 x 0.79 x 0.75</t>
  </si>
  <si>
    <t>LITCHI CORAL</t>
  </si>
  <si>
    <t>rd-JUICY-tint09</t>
  </si>
  <si>
    <t>B088MFPHT4</t>
  </si>
  <si>
    <t>B0BRFD8S12</t>
  </si>
  <si>
    <t>8809625241636</t>
  </si>
  <si>
    <t>rom&amp;nd] Glasting Water Gloss 2 colors | Syrupy Glossy Finish| Long-lasting| moisturizing| Highlighting| Natural Gloss for Daily Use|K-beauty | 4.5g/0.16oz No. 01 SANHO CRUSH</t>
  </si>
  <si>
    <t>4.21 x 0.79 x 0.75</t>
  </si>
  <si>
    <t>IFAMILYSC</t>
  </si>
  <si>
    <t>Sanho Crush</t>
  </si>
  <si>
    <t>B088PN8L6C</t>
  </si>
  <si>
    <t>8809625241612</t>
  </si>
  <si>
    <t>[rom&amp;nd] Glasting Water Tint 8 colors | Vivid color, Glossy Finish, Long-lasting, moisturizing, Highlighting, Natural-beauty Lip for Daily Use, K-beauty 4g/0.14oz No.08 ROSE STREAM</t>
  </si>
  <si>
    <t>4.33 x 0.75 x 0.75</t>
  </si>
  <si>
    <t>CNCINTERNATIONAL,IFAMILYSC</t>
  </si>
  <si>
    <t>Rose</t>
  </si>
  <si>
    <t>B08LV255BT</t>
  </si>
  <si>
    <t>840026647151</t>
  </si>
  <si>
    <t>FENTY BEAUTY</t>
  </si>
  <si>
    <t>Fenty Skin Fat Water Pore Refining Toner Serum</t>
  </si>
  <si>
    <t>8.78 x 2.72 x 2.24</t>
  </si>
  <si>
    <t>Fenty Skin</t>
  </si>
  <si>
    <t>B08M5J9N7N</t>
  </si>
  <si>
    <t>8809467638373</t>
  </si>
  <si>
    <t>[JUNGSAEMMOOL OFFICIAL] Masterclass Radiant Cushion (Ivory (N1))</t>
  </si>
  <si>
    <t>3.27 x 3.11 x 2.44</t>
  </si>
  <si>
    <t>Ivory (N1)</t>
  </si>
  <si>
    <t>1118092736</t>
  </si>
  <si>
    <t>B08M5N4GBT</t>
  </si>
  <si>
    <t>8809467638380</t>
  </si>
  <si>
    <t>[JUNGSAEMMOOL OFFICIAL] Masterclass Radiant Cushion (Vanila (N2))</t>
  </si>
  <si>
    <t>4.06 x 3.5 x 2.6</t>
  </si>
  <si>
    <t>Vanilla</t>
  </si>
  <si>
    <t>11288373</t>
  </si>
  <si>
    <t>1118092749</t>
  </si>
  <si>
    <t>B08MT5KZ9W</t>
  </si>
  <si>
    <t>B0GFMDPJ4Q</t>
  </si>
  <si>
    <t>8809625242725</t>
  </si>
  <si>
    <t>rom&amp;nd Juicy lasting Tint Ripe Fruit Colors (19 ALMOND ROSE) …</t>
  </si>
  <si>
    <t>4.09 x 0.94 x 0.79</t>
  </si>
  <si>
    <t>8809625242718</t>
  </si>
  <si>
    <t>19 ALMOND ROSE</t>
  </si>
  <si>
    <t>B08MTBHSMB</t>
  </si>
  <si>
    <t>8809625242732</t>
  </si>
  <si>
    <t>rom&amp;nd Juicy Lasting Tint 20 DARK COCONUTㅣLong-lasting, MLBB, Clear &amp; Natural Makeup, K-beauty Lips, 5.5g ㅣ0.2 oz</t>
  </si>
  <si>
    <t>4.17 x 0.87 x 0.79</t>
  </si>
  <si>
    <t>20 DARK COCONUT</t>
  </si>
  <si>
    <t>B08MTQMHGT</t>
  </si>
  <si>
    <t>rom&amp;nd Juicy Lasting Tint #18 Mulled Peach - K-Beauty Glossy Lip Stain | Hydrating, Long-Lasting, Non-Sticky Syrupy Finish | Natural Fruit-Inspired Coral Peach for All Skin Tones</t>
  </si>
  <si>
    <t>3.94 x 0.83 x 0.75</t>
  </si>
  <si>
    <t>MULLED PEACH - V1</t>
  </si>
  <si>
    <t>B08MV5TGSZ</t>
  </si>
  <si>
    <t>8809625242756</t>
  </si>
  <si>
    <t>ROMAND Zero Velvet Tint Autumn Knitwear Colors (21 VILLAIN VEST)</t>
  </si>
  <si>
    <t>4.09 x 0.79 x 0.75</t>
  </si>
  <si>
    <t>Brown</t>
  </si>
  <si>
    <t>B08QLK5JHV</t>
  </si>
  <si>
    <t>773602642199</t>
  </si>
  <si>
    <t>MAC - FIX+STAY OVER 100 ML/3.4 OZ</t>
  </si>
  <si>
    <t>7 x 5 x 3</t>
  </si>
  <si>
    <t>Multicolor</t>
  </si>
  <si>
    <t>0773602642199</t>
  </si>
  <si>
    <t>B08X46T8CX</t>
  </si>
  <si>
    <t>B0HDTWJCYN</t>
  </si>
  <si>
    <t>8809625243135</t>
  </si>
  <si>
    <t>rom&amp;nd HAN ALL FIX MASCARA L01 Long Black</t>
  </si>
  <si>
    <t>4.76 x 0.75 x 0.71</t>
  </si>
  <si>
    <t>COSMAX, INC.</t>
  </si>
  <si>
    <t>LONG BLACK</t>
  </si>
  <si>
    <t>ROMAN-HAF-MASCA-01.L-853</t>
  </si>
  <si>
    <t>B08X476NL5</t>
  </si>
  <si>
    <t>8809625243142</t>
  </si>
  <si>
    <t>rom&amp;nd Han All Fix Mascara | Waterproof Curling Mascara | V01 Volume Black</t>
  </si>
  <si>
    <t>6.22 x 1.02 x 0.87</t>
  </si>
  <si>
    <t>VOLUME BLACK</t>
  </si>
  <si>
    <t>B08ZJPFXZG</t>
  </si>
  <si>
    <t>8809625243128</t>
  </si>
  <si>
    <t>rom&amp;nd Better Than Palette 102g (04 Dusty Fog Garden) | Eye Makeup Palette, Matte &amp; Shimmer Eye Shadow, Sparkling Glittery, various 10 shades, Long Lasting, High Pigmented, Blendable, Warm Tones</t>
  </si>
  <si>
    <t>5.16 x 2.48 x 0.75</t>
  </si>
  <si>
    <t>Dusty Fog</t>
  </si>
  <si>
    <t>B08ZXVVY8M</t>
  </si>
  <si>
    <t>B0DP26FZYG</t>
  </si>
  <si>
    <t>8809732910159</t>
  </si>
  <si>
    <t>mixsoon</t>
  </si>
  <si>
    <t>mixsoon Bean Essence Korean Skin Care, Gentle AHA Exfoliating Essence for Glass Skin Glow, Hydrating Face Serum with Fermented Bean, Smooth Skin, 50ml / 1.69 fl.oz. Korean Glass Skin Care</t>
  </si>
  <si>
    <t>4.61 x 1.73 x 1.65</t>
  </si>
  <si>
    <t>Mixsoon</t>
  </si>
  <si>
    <t>Light Yellow</t>
  </si>
  <si>
    <t>LHB-MX0011</t>
  </si>
  <si>
    <t>B091Q19J6D</t>
  </si>
  <si>
    <t>8809625243340</t>
  </si>
  <si>
    <t>05 SHADE &amp; SHADOW GARDEN</t>
  </si>
  <si>
    <t>Patio, Lawn &amp; Garden</t>
  </si>
  <si>
    <t>5.71 x 2.64 x 0.87</t>
  </si>
  <si>
    <t>Shade &amp; Shadow Garden</t>
  </si>
  <si>
    <t>1</t>
  </si>
  <si>
    <t>B09242GH8Q</t>
  </si>
  <si>
    <t>8809625243722</t>
  </si>
  <si>
    <t>rom&amp;nd Juicy Lasting Tint 25 BARE GRAPE, Vivid color, Glossy Finish, Long-lasting, MLBB, moisturizing, Highly-Pigmented, Clear &amp; Natural Makeup, Lip Tint for Daily Use, K-beauty, 5.5g / 0.2 oz</t>
  </si>
  <si>
    <t>4.09 x 1.14 x 0.79</t>
  </si>
  <si>
    <t>BARE GRAPE</t>
  </si>
  <si>
    <t>25 Bare Grape</t>
  </si>
  <si>
    <t>B09247SG83</t>
  </si>
  <si>
    <t>rom&amp;nd Better Than Palette 102g (05 Shade &amp; Shadow Garden) | Eye Makeup Palette, Matte &amp; Shimmer Eye Shadow, Sparkling Glittery, various 10 shades, Long Lasting, High Pigmented, Blendable, Warm Tones</t>
  </si>
  <si>
    <t>5.12 x 2.48 x 0.67</t>
  </si>
  <si>
    <t>01 Pampas Garden, 02 Mahogany Garden, 03 Rosebud Garden, 04 Dusty Fog Garden, 05 Shade &amp; Shadow Gar</t>
  </si>
  <si>
    <t>B09BYPBG5Z</t>
  </si>
  <si>
    <t>8809625244095</t>
  </si>
  <si>
    <t>rom&amp;nd Han All Fix Mascara | Waterproof Curling Mascara | L03 Long Hazel</t>
  </si>
  <si>
    <t>4.92 x 0.71 x 0.67</t>
  </si>
  <si>
    <t>Rom&amp;Nd</t>
  </si>
  <si>
    <t>Long Hazel</t>
  </si>
  <si>
    <t>ROMAN-HAF-MASCA-03.L-855</t>
  </si>
  <si>
    <t>B09BYPP6FF</t>
  </si>
  <si>
    <t>8809625244088</t>
  </si>
  <si>
    <t>Rom&amp;nd Han All Fix Mascara, Long Ash</t>
  </si>
  <si>
    <t>5.31 x 1.18 x 0.87</t>
  </si>
  <si>
    <t>LONG ASH</t>
  </si>
  <si>
    <t>ROMAN-HAF-MASCA-02.L-854</t>
  </si>
  <si>
    <t>B09F33SXG6</t>
  </si>
  <si>
    <t>8809625244132</t>
  </si>
  <si>
    <t>Rom&amp;nd Better Than Palette (8g)</t>
  </si>
  <si>
    <t>5.12 x 2.44 x 0.75</t>
  </si>
  <si>
    <t>06 Peony Nude Garden</t>
  </si>
  <si>
    <t>B09FV4P7T8</t>
  </si>
  <si>
    <t>Lab Series Daily Rescue Water Lotion Lotion Men 6.7 oz</t>
  </si>
  <si>
    <t>6.69 x 5 x 1.69</t>
  </si>
  <si>
    <t>448X01</t>
  </si>
  <si>
    <t>B09HRNCKN4</t>
  </si>
  <si>
    <t>8809652580456</t>
  </si>
  <si>
    <t>numbuzin</t>
  </si>
  <si>
    <t>numbuzin No.3 Porcelain Base-skip Tone Up Beige | SPF50+ PA++++ | Lightweight, Hydrating | Zinc Oxide, Niacinamide | Sheer, Natural Finish, Evens Skin Tone | Korean Skincare 1.69 fl. oz.</t>
  </si>
  <si>
    <t>5 x 2.28 x 0.94</t>
  </si>
  <si>
    <t>BENOW Inc.</t>
  </si>
  <si>
    <t>B09JDXC8PM</t>
  </si>
  <si>
    <t>8809576261301</t>
  </si>
  <si>
    <t>SKIN1004</t>
  </si>
  <si>
    <t>SKIN1004 Madagascar Centella Air-fit Suncream Plus 1.69 fl. oz (50ml)</t>
  </si>
  <si>
    <t>4.72 x 2.17 x 0.94</t>
  </si>
  <si>
    <t>Air-fit Suncream Plus (for Oily)</t>
  </si>
  <si>
    <t>B09NFLGNPB</t>
  </si>
  <si>
    <t>B0DY1GHQ1F</t>
  </si>
  <si>
    <t>8809732910890</t>
  </si>
  <si>
    <t>Master Serum Moisturizing Serum - Intensive Moisturizing, Lightweight Formula for Radiant Skin 60ml / 2.02 fl.oz. Korean Glass Skin Care</t>
  </si>
  <si>
    <t>4.92 x 2.32 x 1.65</t>
  </si>
  <si>
    <t>paket inc.</t>
  </si>
  <si>
    <t>LHB25-MX0022</t>
  </si>
  <si>
    <t>B09NXR3B91</t>
  </si>
  <si>
    <t>B0F26MVN9P</t>
  </si>
  <si>
    <t>8809625244484</t>
  </si>
  <si>
    <t>rom&amp;nd Blur Fudge Tint | Velvety Matte Lip Stain | 04 Radwood | 0.17oz</t>
  </si>
  <si>
    <t>3.98 x 0.91 x 0.75</t>
  </si>
  <si>
    <t>04 Radwood</t>
  </si>
  <si>
    <t>B09S6L7RH7</t>
  </si>
  <si>
    <t>B0CH8K4PWV</t>
  </si>
  <si>
    <t>840026650335</t>
  </si>
  <si>
    <t>Eaze Drop Lightweight Blurring Skin Tint - 7 Light Medium With Warm Neutral Undertones by Fenty Beauty for Women - 1.08 oz Makeup</t>
  </si>
  <si>
    <t>4.06 x 2.13 x 0.94</t>
  </si>
  <si>
    <t>Fenty Beauty</t>
  </si>
  <si>
    <t>7</t>
  </si>
  <si>
    <t>50335</t>
  </si>
  <si>
    <t>B09VC25YXL</t>
  </si>
  <si>
    <t>B0BLD3MYRM</t>
  </si>
  <si>
    <t>8809625244804</t>
  </si>
  <si>
    <t>Rom&amp;nd Nu Zero Cushion (04 Beige 23) Long Lasting, High Coverage, Semi Matte Finish, Flawless Complexion Without Cakey Face, Makeup Base and Fixer, Thinly Layered, Korean Cushion Foundation</t>
  </si>
  <si>
    <t>3.35 x 3.23 x 1.06</t>
  </si>
  <si>
    <t>romand</t>
  </si>
  <si>
    <t>04 Beige 23</t>
  </si>
  <si>
    <t>LHB24-ROM203</t>
  </si>
  <si>
    <t>B09VC2J5M3</t>
  </si>
  <si>
    <t>8809625244781</t>
  </si>
  <si>
    <t>Rom&amp;nd Nu Zero Cushion (02 Pure 21) Long Lasting, High Coverage, Semi Matte Finish, Flawless Complexion Without Cakey Face, Makeup Base and Fixer, Thinly Layered, Korean Cushion Foundation</t>
  </si>
  <si>
    <t>3.43 x 3.39 x 1.14</t>
  </si>
  <si>
    <t>02 Pure 21</t>
  </si>
  <si>
    <t>LHB-ROM201</t>
  </si>
  <si>
    <t>B09VC2PW9R</t>
  </si>
  <si>
    <t>8809625244774</t>
  </si>
  <si>
    <t>Rom&amp;nd Nu Zero Cushion (01 Porcelain 17) Long Lasting, High Coverage, Semi Matte Finish, Flawless Complexion Without Cakey Face, Makeup Base and Fixer, Thinly Layered, Korean Cushion Foundation</t>
  </si>
  <si>
    <t>5.75 x 4.09 x 1.54</t>
  </si>
  <si>
    <t>01 Porcelain 17</t>
  </si>
  <si>
    <t>LHB-ROM200</t>
  </si>
  <si>
    <t>B09VSQFGWN</t>
  </si>
  <si>
    <t>8809625245221</t>
  </si>
  <si>
    <t>rom&amp;nd Better Than Palette 102g (07 Berry Fuchsia Garden) | Eye Makeup Palette, Matte &amp; Shimmer Eye Shadow, Sparkling Glittery, various 10 shades, Long Lasting, High Pigmented, Blendable, Warm Tones</t>
  </si>
  <si>
    <t>5.2 x 2.64 x 0.87</t>
  </si>
  <si>
    <t>07 BERRY FUCHSIA GARDEN</t>
  </si>
  <si>
    <t>B09XMKPQZH</t>
  </si>
  <si>
    <t>8809826710269</t>
  </si>
  <si>
    <t>[JUNGSAEMMOOL OFFICIAL] Skin Nuder Cover Layer Cushion 23 (Medium) | Refill Included | Delicate Cover | All-day Lasting | Makeup Artist Brand</t>
  </si>
  <si>
    <t>3.15 x 2.99 x 2.32</t>
  </si>
  <si>
    <t>medium</t>
  </si>
  <si>
    <t>B0B2RK3R85</t>
  </si>
  <si>
    <t>8809625245504</t>
  </si>
  <si>
    <t>rom&amp;nd Juicy Lasting Tint 29 PAPAYA JAM | Long-lasting, MLBB, Clear &amp; Natural Makeup, K-beauty Lips, 5.5g | 0.2 oz</t>
  </si>
  <si>
    <t>4.06 x 0.79 x 0.75</t>
  </si>
  <si>
    <t>29 PAPAYA JAM</t>
  </si>
  <si>
    <t>B0B4GC8Z35</t>
  </si>
  <si>
    <t>B0FM4P3RN8</t>
  </si>
  <si>
    <t>5056446606653</t>
  </si>
  <si>
    <t>Charlotte Tilbury</t>
  </si>
  <si>
    <t>Charlotte Tilbury Glow Face Toner - Exfoliating Toner for Oily Skin</t>
  </si>
  <si>
    <t>10.67 x 6.38 x 1.73</t>
  </si>
  <si>
    <t>Charlotte Tilbury Beauty Inc.</t>
  </si>
  <si>
    <t>B0B9T5CDQJ</t>
  </si>
  <si>
    <t>B002NZXKFM</t>
  </si>
  <si>
    <t>194251070384</t>
  </si>
  <si>
    <t>NARS</t>
  </si>
  <si>
    <t>Light Reflecting Foundation - L2 Mont Blanc by NARS for Women - 1 oz Foundation</t>
  </si>
  <si>
    <t>4.25 x 1.77 x 1.46</t>
  </si>
  <si>
    <t>Mont Blanc - Light 2</t>
  </si>
  <si>
    <t>B0BBQ92XNF</t>
  </si>
  <si>
    <t>B0C4CHTPLT</t>
  </si>
  <si>
    <t>840026657693</t>
  </si>
  <si>
    <t>Ole Henriksen</t>
  </si>
  <si>
    <t>Ole Henriksen Olehenriksen Banana Bright+ Vitamin C Eye Crème 0.5 oz, 0.50 Ounce (Pack of 1)</t>
  </si>
  <si>
    <t>2.2 x 2.13 x 2.05</t>
  </si>
  <si>
    <t>B0BGL3B1RT</t>
  </si>
  <si>
    <t>B0F25TWXPZ</t>
  </si>
  <si>
    <t>8809625245849</t>
  </si>
  <si>
    <t>rom&amp;nd Better Than Cheek (C03 FIG CHIP) 4g</t>
  </si>
  <si>
    <t>2.8 x 1.5 x 0.55</t>
  </si>
  <si>
    <t>iFamilySC</t>
  </si>
  <si>
    <t>C03 FIG CHIP</t>
  </si>
  <si>
    <t>B0BLHR75SC</t>
  </si>
  <si>
    <t>B0CJ38SXYB</t>
  </si>
  <si>
    <t>194251002965</t>
  </si>
  <si>
    <t>Nars Radiant Creamy Liquid Color Corrector #Light, 0.2 Ounce</t>
  </si>
  <si>
    <t>4.84 x 0.87 x 0.63</t>
  </si>
  <si>
    <t>Light</t>
  </si>
  <si>
    <t>9425100296</t>
  </si>
  <si>
    <t>B0BS6418PM</t>
  </si>
  <si>
    <t>8806133615577</t>
  </si>
  <si>
    <t>Dr.Ceuracle</t>
  </si>
  <si>
    <t>leegeehaam Dr.Ceuracle Vegan Active Berry First Essence - Antioxidant Hydrating Serum with Resveratrol Capsules for Rejuvenation (150ml / 5.07 fl. oz.)</t>
  </si>
  <si>
    <t>Health and Beauty</t>
  </si>
  <si>
    <t>8.15 x 2.76 x 2.13</t>
  </si>
  <si>
    <t>leegeehaam</t>
  </si>
  <si>
    <t>1070842</t>
  </si>
  <si>
    <t>B0BT23GN3B</t>
  </si>
  <si>
    <t>B0CTJNR8N2</t>
  </si>
  <si>
    <t>194251133508</t>
  </si>
  <si>
    <t>NARS Powermatte Lipstick - Sweet Disposition 100 (Pink Beige) .05 oz.</t>
  </si>
  <si>
    <t>4.93 x 1.14 x 1.02</t>
  </si>
  <si>
    <t>Sweet Disposition 100</t>
  </si>
  <si>
    <t>B0BTDKRVWT</t>
  </si>
  <si>
    <t>B0CDH3WFKQ</t>
  </si>
  <si>
    <t>8809680143180</t>
  </si>
  <si>
    <t>Amuse</t>
  </si>
  <si>
    <t>Amuse SEOUL Jel-Fit Tint (07 CARAMEL) - Jelly Lip Stain, Long Lasting Hydrating Lip Gloss, Smooth Moisturizing Lip, Glossy Finish, Vegan, Korean Beauty Makeup</t>
  </si>
  <si>
    <t>3.11 x 1.26 x 0.87</t>
  </si>
  <si>
    <t>C&amp;CINTERNATIONALCO.,LTD.</t>
  </si>
  <si>
    <t>07 CARAMEL</t>
  </si>
  <si>
    <t>C&amp;C INTERNATIONAL</t>
  </si>
  <si>
    <t>B0BTDLS45G</t>
  </si>
  <si>
    <t>8809680143135</t>
  </si>
  <si>
    <t>Amuse SEOUL Jel-Fit Tint (02 HEALTHY SALMON) - Jelly Lip Stain, Long Lasting Hydrating Lip Gloss, Smooth Moisturizing Lip, Glossy Finish, Vegan, Korean Beauty Makeup</t>
  </si>
  <si>
    <t>3.19 x 1.3 x 0.94</t>
  </si>
  <si>
    <t>02 HEALTHY SALMON</t>
  </si>
  <si>
    <t>B0C15VLYPC</t>
  </si>
  <si>
    <t>840026653961</t>
  </si>
  <si>
    <t>Truth Serum Duo</t>
  </si>
  <si>
    <t>4.21 x 1.46 x 1.46</t>
  </si>
  <si>
    <t>B0C2TN3FZR</t>
  </si>
  <si>
    <t>8809625246853</t>
  </si>
  <si>
    <t>rom&amp;nd Juicy Lasting Tint 31 BARE APRICOT | Long-lasting, MLBB, Clear &amp; Natural Makeup, K-beauty Lips, 5.5g | 0.2 oz</t>
  </si>
  <si>
    <t>4.02 x 0.91 x 0.75</t>
  </si>
  <si>
    <t>31 BARE APRICOT</t>
  </si>
  <si>
    <t>B0C3VHZWJ9</t>
  </si>
  <si>
    <t>My Geisha</t>
  </si>
  <si>
    <t>Shangpree Marine Energy Eye Mask</t>
  </si>
  <si>
    <t>B0C7WLWNC8</t>
  </si>
  <si>
    <t>B0CTMWYLFP</t>
  </si>
  <si>
    <t>840026658638</t>
  </si>
  <si>
    <t>Invisimatte Instant Setting Plus Blotting Powder by Fenty Beauty for Women - 0.3 oz Powder</t>
  </si>
  <si>
    <t>6.26 x 4.13 x 1.06</t>
  </si>
  <si>
    <t>Universal</t>
  </si>
  <si>
    <t>PRTLBNMG482</t>
  </si>
  <si>
    <t>FBBRHN</t>
  </si>
  <si>
    <t>B0C81JS33Y</t>
  </si>
  <si>
    <t>5056446618281</t>
  </si>
  <si>
    <t>Airbrush Flawless Lip Blur</t>
  </si>
  <si>
    <t>4.57 x 0.91 x 0.75</t>
  </si>
  <si>
    <t>Walk of No Shame Blur</t>
  </si>
  <si>
    <t>B0C8H6P4KN</t>
  </si>
  <si>
    <t>B0C9M6GM4S</t>
  </si>
  <si>
    <t>8809625247317</t>
  </si>
  <si>
    <t>rom&amp;nd Lip Mate Pencil | Semi Matte Lip Liner &amp; Brush | 05 Taupey Shade</t>
  </si>
  <si>
    <t>5.08 x 0.83 x 0.67</t>
  </si>
  <si>
    <t>05 Taupey Shade</t>
  </si>
  <si>
    <t>B0C8H7LWJF</t>
  </si>
  <si>
    <t>8809625247294</t>
  </si>
  <si>
    <t>rom&amp;nd Lip Mate Pencil | Semi Matte Lip Liner &amp; Brush | 03 Kaya Beige</t>
  </si>
  <si>
    <t>5.12 x 0.83 x 0.67</t>
  </si>
  <si>
    <t>03 Kaya Beige</t>
  </si>
  <si>
    <t>B0C8H7RG5N</t>
  </si>
  <si>
    <t>8809625247324</t>
  </si>
  <si>
    <t>rom&amp;nd eye glow pencil</t>
  </si>
  <si>
    <t>5.16 x 1.34 x 0.94</t>
  </si>
  <si>
    <t>B0CDXXQTV8</t>
  </si>
  <si>
    <t>840026654838</t>
  </si>
  <si>
    <t>Plush Puddin' Intensive Recovery Lip Mask</t>
  </si>
  <si>
    <t>2.4 x 2.05 x 1.65</t>
  </si>
  <si>
    <t>ABG..5.22..10.388</t>
  </si>
  <si>
    <t>B0CGXRCN6Y</t>
  </si>
  <si>
    <t>B0CLHVMH9R</t>
  </si>
  <si>
    <t>773602673032</t>
  </si>
  <si>
    <t>Locked Kiss Ink Lipcolor - Extra Chili by MAC for Women - 0.14 oz Lipstick</t>
  </si>
  <si>
    <t>6.26 x 5 x 0.98</t>
  </si>
  <si>
    <t>EXTRA CHILI</t>
  </si>
  <si>
    <t>I0143141</t>
  </si>
  <si>
    <t>0773602673032</t>
  </si>
  <si>
    <t>B0CP7SY6MC</t>
  </si>
  <si>
    <t>B0CSNDMBKD</t>
  </si>
  <si>
    <t>8809625248796</t>
  </si>
  <si>
    <t>rom&amp;nd Glasting Color Gloss | Plumping Lip Oil | Peony Ballet | 0.14oz</t>
  </si>
  <si>
    <t>4.25 x 0.75 x 0.75</t>
  </si>
  <si>
    <t>Light Pink</t>
  </si>
  <si>
    <t>GCG</t>
  </si>
  <si>
    <t>Product Image link 1</t>
  </si>
  <si>
    <t>Product Image link 2</t>
  </si>
  <si>
    <t>Product Image link 3</t>
  </si>
  <si>
    <t>Product Image link 4</t>
  </si>
  <si>
    <t>Product Image link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</si>
</sst>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##%"/>
    <numFmt numFmtId="165" formatCode="0.0%"/>
    <numFmt numFmtId="166" formatCode="mm/dd/yyyy\ hh:mm"/>
    <numFmt numFmtId="167" formatCode="\&lt;\ 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E2A0"/>
        <bgColor rgb="FFC5E2A0"/>
      </patternFill>
    </fill>
    <fill>
      <patternFill patternType="solid">
        <fgColor rgb="FFFEE095"/>
        <bgColor rgb="FFFEE095"/>
      </patternFill>
    </fill>
    <fill>
      <patternFill patternType="solid">
        <fgColor rgb="FFF8C4C4"/>
        <bgColor rgb="FFF8C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4" fontId="0" fillId="2" borderId="0" xfId="0" applyNumberFormat="1" applyFill="1"/>
    <xf numFmtId="164" fontId="0" fillId="3" borderId="0" xfId="0" applyNumberFormat="1" applyFill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4" borderId="0" xfId="0" applyNumberFormat="1" applyFill="1"/>
    <xf numFmtId="0" fontId="0" fillId="3" borderId="0" xfId="0" applyFill="1"/>
    <xf numFmtId="4" fontId="0" fillId="4" borderId="0" xfId="0" applyNumberFormat="1" applyFill="1"/>
    <xf numFmtId="164" fontId="0" fillId="4" borderId="0" xfId="0" applyNumberFormat="1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2"/>
  <sheetViews>
    <sheetView tabSelected="1" workbookViewId="0">
      <pane ySplit="1" topLeftCell="A2" activePane="bottomLeft" state="frozen"/>
      <selection pane="bottomLeft" activeCell="T1" sqref="T1"/>
    </sheetView>
  </sheetViews>
  <sheetFormatPr baseColWidth="10" defaultRowHeight="15" x14ac:dyDescent="0.2"/>
  <cols>
    <col min="1" max="46" width="10.83203125" customWidth="1"/>
    <col min="47" max="47" width="17.83203125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555</v>
      </c>
      <c r="AW1" s="1" t="s">
        <v>556</v>
      </c>
      <c r="AX1" s="1" t="s">
        <v>557</v>
      </c>
      <c r="AY1" s="1" t="s">
        <v>558</v>
      </c>
      <c r="AZ1" s="1" t="s">
        <v>559</v>
      </c>
    </row>
    <row r="2" spans="1:52" x14ac:dyDescent="0.2">
      <c r="A2" t="s">
        <v>58</v>
      </c>
      <c r="B2" t="s">
        <v>51</v>
      </c>
      <c r="C2" t="s">
        <v>47</v>
      </c>
      <c r="D2" t="s">
        <v>59</v>
      </c>
      <c r="E2" t="s">
        <v>60</v>
      </c>
      <c r="F2" t="s">
        <v>47</v>
      </c>
      <c r="G2" t="s">
        <v>61</v>
      </c>
      <c r="H2" s="2" t="str">
        <f>HYPERLINK("https://sellercentral.amazon.com/hz/approvalrequest/restrictions/approve?asin=B009QZ5YME", "https://sellercentral.amazon.com/hz/approvalrequest/restrictions/approve?asin=B009QZ5YME")</f>
        <v>https://sellercentral.amazon.com/hz/approvalrequest/restrictions/approve?asin=B009QZ5YME</v>
      </c>
      <c r="I2" t="s">
        <v>62</v>
      </c>
      <c r="J2">
        <v>1</v>
      </c>
      <c r="K2" s="2" t="str">
        <f>HYPERLINK("https://www.amazon.com/dp/B009QZ5YME", "https://www.amazon.com/dp/B009QZ5YME")</f>
        <v>https://www.amazon.com/dp/B009QZ5YME</v>
      </c>
      <c r="L2" s="10">
        <v>5</v>
      </c>
      <c r="P2" t="s">
        <v>49</v>
      </c>
      <c r="Q2" t="s">
        <v>50</v>
      </c>
      <c r="R2" s="6">
        <v>564351</v>
      </c>
      <c r="S2" s="7">
        <v>236</v>
      </c>
      <c r="Z2">
        <v>0</v>
      </c>
      <c r="AF2" s="7">
        <v>0</v>
      </c>
      <c r="AG2" t="s">
        <v>63</v>
      </c>
      <c r="AH2" s="7">
        <v>0.88</v>
      </c>
      <c r="AI2">
        <v>0</v>
      </c>
      <c r="AJ2">
        <v>0</v>
      </c>
      <c r="AK2">
        <v>0</v>
      </c>
      <c r="AL2">
        <v>0</v>
      </c>
      <c r="AM2" t="s">
        <v>60</v>
      </c>
      <c r="AN2" t="s">
        <v>64</v>
      </c>
      <c r="AO2" t="s">
        <v>59</v>
      </c>
      <c r="AP2" t="s">
        <v>65</v>
      </c>
      <c r="AQ2" t="s">
        <v>47</v>
      </c>
      <c r="AR2" s="2" t="str">
        <f>HYPERLINK("https://keepa.com/#!product/1-B009QZ5YME", "https://keepa.com/#!product/1-B009QZ5YME")</f>
        <v>https://keepa.com/#!product/1-B009QZ5YME</v>
      </c>
      <c r="AS2" s="2" t="str">
        <f>HYPERLINK("https://camelcamelcamel.com/search?sq=B009QZ5YME", "https://camelcamelcamel.com/search?sq=B009QZ5YME")</f>
        <v>https://camelcamelcamel.com/search?sq=B009QZ5YME</v>
      </c>
      <c r="AT2" t="s">
        <v>51</v>
      </c>
      <c r="AU2" s="9">
        <v>46261.994883226726</v>
      </c>
    </row>
    <row r="3" spans="1:52" x14ac:dyDescent="0.2">
      <c r="A3" t="s">
        <v>66</v>
      </c>
      <c r="B3" t="s">
        <v>67</v>
      </c>
      <c r="C3" t="s">
        <v>47</v>
      </c>
      <c r="D3" t="s">
        <v>68</v>
      </c>
      <c r="E3" t="s">
        <v>54</v>
      </c>
      <c r="F3" t="s">
        <v>47</v>
      </c>
      <c r="G3" t="s">
        <v>48</v>
      </c>
      <c r="I3" t="s">
        <v>69</v>
      </c>
      <c r="J3">
        <v>1</v>
      </c>
      <c r="K3" s="2" t="str">
        <f>HYPERLINK("https://www.amazon.com/dp/B00BH4KLJI", "https://www.amazon.com/dp/B00BH4KLJI")</f>
        <v>https://www.amazon.com/dp/B00BH4KLJI</v>
      </c>
      <c r="L3" s="10">
        <v>5</v>
      </c>
      <c r="M3" s="4">
        <v>121.56</v>
      </c>
      <c r="N3" s="5">
        <v>0.26690000000000003</v>
      </c>
      <c r="O3" s="5">
        <v>0.46750000000000003</v>
      </c>
      <c r="P3" t="s">
        <v>49</v>
      </c>
      <c r="Q3" t="s">
        <v>50</v>
      </c>
      <c r="R3" s="6">
        <v>359742</v>
      </c>
      <c r="S3" s="7">
        <v>260</v>
      </c>
      <c r="T3" s="7">
        <v>312.38</v>
      </c>
      <c r="U3" s="4">
        <v>455.39</v>
      </c>
      <c r="X3">
        <v>455.39</v>
      </c>
      <c r="Y3" s="7">
        <v>68.31</v>
      </c>
      <c r="Z3">
        <v>0</v>
      </c>
      <c r="AA3" s="7">
        <v>5.52</v>
      </c>
      <c r="AB3" s="7">
        <v>73.83</v>
      </c>
      <c r="AC3" s="7">
        <v>381.56</v>
      </c>
      <c r="AD3" s="8">
        <v>0</v>
      </c>
      <c r="AE3" s="7">
        <v>0</v>
      </c>
      <c r="AF3" s="7">
        <v>0</v>
      </c>
      <c r="AG3" t="s">
        <v>70</v>
      </c>
      <c r="AH3" s="7">
        <v>1.1499999999999999</v>
      </c>
      <c r="AI3">
        <v>1</v>
      </c>
      <c r="AJ3">
        <v>0</v>
      </c>
      <c r="AK3">
        <v>1</v>
      </c>
      <c r="AL3">
        <v>0</v>
      </c>
      <c r="AM3" t="s">
        <v>54</v>
      </c>
      <c r="AN3" t="s">
        <v>71</v>
      </c>
      <c r="AO3" t="s">
        <v>68</v>
      </c>
      <c r="AP3" t="s">
        <v>72</v>
      </c>
      <c r="AQ3" t="s">
        <v>47</v>
      </c>
      <c r="AR3" s="2" t="str">
        <f>HYPERLINK("https://keepa.com/#!product/1-B00BH4KLJI", "https://keepa.com/#!product/1-B00BH4KLJI")</f>
        <v>https://keepa.com/#!product/1-B00BH4KLJI</v>
      </c>
      <c r="AS3" s="2" t="str">
        <f>HYPERLINK("https://camelcamelcamel.com/search?sq=B00BH4KLJI", "https://camelcamelcamel.com/search?sq=B00BH4KLJI")</f>
        <v>https://camelcamelcamel.com/search?sq=B00BH4KLJI</v>
      </c>
      <c r="AT3" t="s">
        <v>51</v>
      </c>
      <c r="AU3" s="9">
        <v>46261.994883226675</v>
      </c>
    </row>
    <row r="4" spans="1:52" x14ac:dyDescent="0.2">
      <c r="A4" t="s">
        <v>73</v>
      </c>
      <c r="B4" t="s">
        <v>51</v>
      </c>
      <c r="C4" t="s">
        <v>47</v>
      </c>
      <c r="D4" t="s">
        <v>57</v>
      </c>
      <c r="E4" t="s">
        <v>54</v>
      </c>
      <c r="F4" t="s">
        <v>47</v>
      </c>
      <c r="G4" t="s">
        <v>48</v>
      </c>
      <c r="I4" t="s">
        <v>74</v>
      </c>
      <c r="J4">
        <v>4</v>
      </c>
      <c r="K4" s="2" t="str">
        <f>HYPERLINK("https://www.amazon.com/dp/B00CCM5DEM", "https://www.amazon.com/dp/B00CCM5DEM")</f>
        <v>https://www.amazon.com/dp/B00CCM5DEM</v>
      </c>
      <c r="L4" s="10">
        <v>5</v>
      </c>
      <c r="P4" t="s">
        <v>49</v>
      </c>
      <c r="Q4" t="s">
        <v>75</v>
      </c>
      <c r="S4" s="7">
        <v>20</v>
      </c>
      <c r="Z4">
        <v>0</v>
      </c>
      <c r="AF4" s="7">
        <v>0</v>
      </c>
      <c r="AG4" t="s">
        <v>51</v>
      </c>
      <c r="AI4">
        <v>0</v>
      </c>
      <c r="AJ4">
        <v>0</v>
      </c>
      <c r="AK4">
        <v>0</v>
      </c>
      <c r="AL4">
        <v>0</v>
      </c>
      <c r="AM4" t="s">
        <v>76</v>
      </c>
      <c r="AN4" t="s">
        <v>51</v>
      </c>
      <c r="AO4" t="s">
        <v>77</v>
      </c>
      <c r="AP4" t="s">
        <v>77</v>
      </c>
      <c r="AQ4" t="s">
        <v>47</v>
      </c>
      <c r="AR4" s="2" t="str">
        <f>HYPERLINK("https://keepa.com/#!product/1-B00CCM5DEM", "https://keepa.com/#!product/1-B00CCM5DEM")</f>
        <v>https://keepa.com/#!product/1-B00CCM5DEM</v>
      </c>
      <c r="AS4" s="2" t="str">
        <f>HYPERLINK("https://camelcamelcamel.com/search?sq=B00CCM5DEM", "https://camelcamelcamel.com/search?sq=B00CCM5DEM")</f>
        <v>https://camelcamelcamel.com/search?sq=B00CCM5DEM</v>
      </c>
      <c r="AT4" t="s">
        <v>51</v>
      </c>
      <c r="AU4" s="9">
        <v>46261.994883226776</v>
      </c>
    </row>
    <row r="5" spans="1:52" x14ac:dyDescent="0.2">
      <c r="A5" t="s">
        <v>78</v>
      </c>
      <c r="B5" t="s">
        <v>51</v>
      </c>
      <c r="C5" t="s">
        <v>47</v>
      </c>
      <c r="D5" t="s">
        <v>59</v>
      </c>
      <c r="E5" t="s">
        <v>60</v>
      </c>
      <c r="F5" t="s">
        <v>47</v>
      </c>
      <c r="G5" t="s">
        <v>61</v>
      </c>
      <c r="H5" s="2" t="str">
        <f>HYPERLINK("https://sellercentral.amazon.com/hz/approvalrequest/restrictions/approve?asin=B00COWZM3W", "https://sellercentral.amazon.com/hz/approvalrequest/restrictions/approve?asin=B00COWZM3W")</f>
        <v>https://sellercentral.amazon.com/hz/approvalrequest/restrictions/approve?asin=B00COWZM3W</v>
      </c>
      <c r="I5" t="s">
        <v>79</v>
      </c>
      <c r="J5">
        <v>1</v>
      </c>
      <c r="K5" s="2" t="str">
        <f>HYPERLINK("https://www.amazon.com/dp/B00COWZM3W", "https://www.amazon.com/dp/B00COWZM3W")</f>
        <v>https://www.amazon.com/dp/B00COWZM3W</v>
      </c>
      <c r="L5" s="10">
        <v>5</v>
      </c>
      <c r="P5" t="s">
        <v>49</v>
      </c>
      <c r="Q5" t="s">
        <v>75</v>
      </c>
      <c r="S5" s="7">
        <v>236</v>
      </c>
      <c r="Z5">
        <v>0</v>
      </c>
      <c r="AF5" s="7">
        <v>0</v>
      </c>
      <c r="AG5" t="s">
        <v>80</v>
      </c>
      <c r="AH5" s="7">
        <v>1.08</v>
      </c>
      <c r="AI5">
        <v>0</v>
      </c>
      <c r="AJ5">
        <v>0</v>
      </c>
      <c r="AK5">
        <v>0</v>
      </c>
      <c r="AL5">
        <v>0</v>
      </c>
      <c r="AM5" t="s">
        <v>51</v>
      </c>
      <c r="AN5" t="s">
        <v>51</v>
      </c>
      <c r="AO5" t="s">
        <v>81</v>
      </c>
      <c r="AP5" t="s">
        <v>81</v>
      </c>
      <c r="AQ5" t="s">
        <v>47</v>
      </c>
      <c r="AR5" s="2" t="str">
        <f>HYPERLINK("https://keepa.com/#!product/1-B00COWZM3W", "https://keepa.com/#!product/1-B00COWZM3W")</f>
        <v>https://keepa.com/#!product/1-B00COWZM3W</v>
      </c>
      <c r="AS5" s="2" t="str">
        <f>HYPERLINK("https://camelcamelcamel.com/search?sq=B00COWZM3W", "https://camelcamelcamel.com/search?sq=B00COWZM3W")</f>
        <v>https://camelcamelcamel.com/search?sq=B00COWZM3W</v>
      </c>
      <c r="AT5" t="s">
        <v>51</v>
      </c>
      <c r="AU5" s="9">
        <v>46261.994883226726</v>
      </c>
    </row>
    <row r="6" spans="1:52" x14ac:dyDescent="0.2">
      <c r="A6" t="s">
        <v>82</v>
      </c>
      <c r="B6" t="s">
        <v>51</v>
      </c>
      <c r="C6" t="s">
        <v>47</v>
      </c>
      <c r="D6" t="s">
        <v>52</v>
      </c>
      <c r="E6" t="s">
        <v>53</v>
      </c>
      <c r="F6" t="s">
        <v>47</v>
      </c>
      <c r="G6" t="s">
        <v>48</v>
      </c>
      <c r="I6" t="s">
        <v>83</v>
      </c>
      <c r="J6">
        <v>1</v>
      </c>
      <c r="K6" s="2" t="str">
        <f>HYPERLINK("https://www.amazon.com/dp/B00DHCOEAA", "https://www.amazon.com/dp/B00DHCOEAA")</f>
        <v>https://www.amazon.com/dp/B00DHCOEAA</v>
      </c>
      <c r="L6" s="10">
        <v>5</v>
      </c>
      <c r="P6" t="s">
        <v>49</v>
      </c>
      <c r="Q6" t="s">
        <v>50</v>
      </c>
      <c r="R6" s="6">
        <v>576341</v>
      </c>
      <c r="S6" s="7">
        <v>39.5</v>
      </c>
      <c r="Z6">
        <v>0</v>
      </c>
      <c r="AF6" s="7">
        <v>0</v>
      </c>
      <c r="AG6" t="s">
        <v>84</v>
      </c>
      <c r="AH6" s="7">
        <v>0.26</v>
      </c>
      <c r="AI6">
        <v>0</v>
      </c>
      <c r="AJ6">
        <v>0</v>
      </c>
      <c r="AK6">
        <v>0</v>
      </c>
      <c r="AL6">
        <v>0</v>
      </c>
      <c r="AM6" t="s">
        <v>51</v>
      </c>
      <c r="AN6" t="s">
        <v>51</v>
      </c>
      <c r="AO6" t="s">
        <v>85</v>
      </c>
      <c r="AP6" t="s">
        <v>85</v>
      </c>
      <c r="AQ6" t="s">
        <v>47</v>
      </c>
      <c r="AR6" s="2" t="str">
        <f>HYPERLINK("https://keepa.com/#!product/1-B00DHCOEAA", "https://keepa.com/#!product/1-B00DHCOEAA")</f>
        <v>https://keepa.com/#!product/1-B00DHCOEAA</v>
      </c>
      <c r="AS6" s="2" t="str">
        <f>HYPERLINK("https://camelcamelcamel.com/search?sq=B00DHCOEAA", "https://camelcamelcamel.com/search?sq=B00DHCOEAA")</f>
        <v>https://camelcamelcamel.com/search?sq=B00DHCOEAA</v>
      </c>
      <c r="AT6" t="s">
        <v>51</v>
      </c>
      <c r="AU6" s="9">
        <v>46261.994883226769</v>
      </c>
    </row>
    <row r="7" spans="1:52" x14ac:dyDescent="0.2">
      <c r="A7" t="s">
        <v>86</v>
      </c>
      <c r="B7" t="s">
        <v>51</v>
      </c>
      <c r="C7" t="s">
        <v>47</v>
      </c>
      <c r="D7" t="s">
        <v>87</v>
      </c>
      <c r="E7" t="s">
        <v>88</v>
      </c>
      <c r="F7" t="s">
        <v>49</v>
      </c>
      <c r="G7" t="s">
        <v>61</v>
      </c>
      <c r="H7" s="2" t="str">
        <f>HYPERLINK("https://sellercentral.amazon.com/hz/approvalrequest/restrictions/approve?asin=B00PSAJZX0", "https://sellercentral.amazon.com/hz/approvalrequest/restrictions/approve?asin=B00PSAJZX0")</f>
        <v>https://sellercentral.amazon.com/hz/approvalrequest/restrictions/approve?asin=B00PSAJZX0</v>
      </c>
      <c r="I7" t="s">
        <v>89</v>
      </c>
      <c r="J7">
        <v>1</v>
      </c>
      <c r="K7" s="2" t="str">
        <f>HYPERLINK("https://www.amazon.com/dp/B00PSAJZX0", "https://www.amazon.com/dp/B00PSAJZX0")</f>
        <v>https://www.amazon.com/dp/B00PSAJZX0</v>
      </c>
      <c r="L7" s="11">
        <v>55</v>
      </c>
      <c r="M7" s="12">
        <v>-6.41</v>
      </c>
      <c r="N7" s="13">
        <v>-0.13470000000000001</v>
      </c>
      <c r="O7" s="13">
        <v>-0.14910000000000001</v>
      </c>
      <c r="P7" t="s">
        <v>49</v>
      </c>
      <c r="Q7" t="s">
        <v>50</v>
      </c>
      <c r="R7" s="6">
        <v>135706</v>
      </c>
      <c r="S7" s="7">
        <v>43</v>
      </c>
      <c r="T7" s="7">
        <v>55.45</v>
      </c>
      <c r="U7" s="12">
        <v>47.59</v>
      </c>
      <c r="V7" s="7">
        <v>47.59</v>
      </c>
      <c r="W7">
        <v>47.59</v>
      </c>
      <c r="Y7" s="7">
        <v>7.14</v>
      </c>
      <c r="Z7">
        <v>0</v>
      </c>
      <c r="AA7" s="7">
        <v>3.86</v>
      </c>
      <c r="AB7" s="7">
        <v>11</v>
      </c>
      <c r="AC7" s="7">
        <v>36.590000000000003</v>
      </c>
      <c r="AD7" s="8">
        <v>0</v>
      </c>
      <c r="AE7" s="7">
        <v>0</v>
      </c>
      <c r="AF7" s="7">
        <v>0</v>
      </c>
      <c r="AG7" t="s">
        <v>90</v>
      </c>
      <c r="AH7" s="7">
        <v>0.2</v>
      </c>
      <c r="AI7">
        <v>3</v>
      </c>
      <c r="AJ7">
        <v>3</v>
      </c>
      <c r="AK7">
        <v>0</v>
      </c>
      <c r="AL7">
        <v>1</v>
      </c>
      <c r="AM7" t="s">
        <v>88</v>
      </c>
      <c r="AN7" t="s">
        <v>51</v>
      </c>
      <c r="AO7" t="s">
        <v>91</v>
      </c>
      <c r="AP7" t="s">
        <v>92</v>
      </c>
      <c r="AQ7" t="s">
        <v>47</v>
      </c>
      <c r="AR7" s="2" t="str">
        <f>HYPERLINK("https://keepa.com/#!product/1-B00PSAJZX0", "https://keepa.com/#!product/1-B00PSAJZX0")</f>
        <v>https://keepa.com/#!product/1-B00PSAJZX0</v>
      </c>
      <c r="AS7" s="2" t="str">
        <f>HYPERLINK("https://camelcamelcamel.com/search?sq=B00PSAJZX0", "https://camelcamelcamel.com/search?sq=B00PSAJZX0")</f>
        <v>https://camelcamelcamel.com/search?sq=B00PSAJZX0</v>
      </c>
      <c r="AT7" t="s">
        <v>51</v>
      </c>
      <c r="AU7" s="9">
        <v>46261.99488322674</v>
      </c>
    </row>
    <row r="8" spans="1:52" x14ac:dyDescent="0.2">
      <c r="A8" t="s">
        <v>93</v>
      </c>
      <c r="B8" t="s">
        <v>51</v>
      </c>
      <c r="C8" t="s">
        <v>47</v>
      </c>
      <c r="D8" t="s">
        <v>94</v>
      </c>
      <c r="E8" t="s">
        <v>95</v>
      </c>
      <c r="F8" t="s">
        <v>49</v>
      </c>
      <c r="G8" t="s">
        <v>48</v>
      </c>
      <c r="I8" t="s">
        <v>96</v>
      </c>
      <c r="J8">
        <v>1</v>
      </c>
      <c r="K8" s="2" t="str">
        <f>HYPERLINK("https://www.amazon.com/dp/B00RN1J40G", "https://www.amazon.com/dp/B00RN1J40G")</f>
        <v>https://www.amazon.com/dp/B00RN1J40G</v>
      </c>
      <c r="L8" s="10">
        <v>5</v>
      </c>
      <c r="P8" t="s">
        <v>49</v>
      </c>
      <c r="Q8" t="s">
        <v>75</v>
      </c>
      <c r="S8" s="7">
        <v>12</v>
      </c>
      <c r="Z8">
        <v>0</v>
      </c>
      <c r="AF8" s="7">
        <v>0</v>
      </c>
      <c r="AG8" t="s">
        <v>97</v>
      </c>
      <c r="AH8" s="7">
        <v>0.15</v>
      </c>
      <c r="AI8">
        <v>0</v>
      </c>
      <c r="AJ8">
        <v>0</v>
      </c>
      <c r="AK8">
        <v>0</v>
      </c>
      <c r="AL8">
        <v>0</v>
      </c>
      <c r="AM8" t="s">
        <v>51</v>
      </c>
      <c r="AN8" t="s">
        <v>51</v>
      </c>
      <c r="AO8" t="s">
        <v>94</v>
      </c>
      <c r="AP8" t="s">
        <v>94</v>
      </c>
      <c r="AQ8" t="s">
        <v>47</v>
      </c>
      <c r="AR8" s="2" t="str">
        <f>HYPERLINK("https://keepa.com/#!product/1-B00RN1J40G", "https://keepa.com/#!product/1-B00RN1J40G")</f>
        <v>https://keepa.com/#!product/1-B00RN1J40G</v>
      </c>
      <c r="AS8" s="2" t="str">
        <f>HYPERLINK("https://camelcamelcamel.com/search?sq=B00RN1J40G", "https://camelcamelcamel.com/search?sq=B00RN1J40G")</f>
        <v>https://camelcamelcamel.com/search?sq=B00RN1J40G</v>
      </c>
      <c r="AT8" t="s">
        <v>51</v>
      </c>
      <c r="AU8" s="9">
        <v>46261.994883226798</v>
      </c>
    </row>
    <row r="9" spans="1:52" x14ac:dyDescent="0.2">
      <c r="A9" t="s">
        <v>98</v>
      </c>
      <c r="B9" t="s">
        <v>51</v>
      </c>
      <c r="C9" t="s">
        <v>47</v>
      </c>
      <c r="D9" t="s">
        <v>59</v>
      </c>
      <c r="E9" t="s">
        <v>60</v>
      </c>
      <c r="F9" t="s">
        <v>47</v>
      </c>
      <c r="G9" t="s">
        <v>61</v>
      </c>
      <c r="H9" s="2" t="str">
        <f>HYPERLINK("https://sellercentral.amazon.com/hz/approvalrequest/restrictions/approve?asin=B010S8EJC8", "https://sellercentral.amazon.com/hz/approvalrequest/restrictions/approve?asin=B010S8EJC8")</f>
        <v>https://sellercentral.amazon.com/hz/approvalrequest/restrictions/approve?asin=B010S8EJC8</v>
      </c>
      <c r="I9" t="s">
        <v>99</v>
      </c>
      <c r="J9">
        <v>1</v>
      </c>
      <c r="K9" s="2" t="str">
        <f>HYPERLINK("https://www.amazon.com/dp/B010S8EJC8", "https://www.amazon.com/dp/B010S8EJC8")</f>
        <v>https://www.amazon.com/dp/B010S8EJC8</v>
      </c>
      <c r="L9" s="10">
        <v>5</v>
      </c>
      <c r="P9" t="s">
        <v>49</v>
      </c>
      <c r="Q9" t="s">
        <v>75</v>
      </c>
      <c r="S9" s="7">
        <v>236</v>
      </c>
      <c r="Z9">
        <v>0</v>
      </c>
      <c r="AF9" s="7">
        <v>0</v>
      </c>
      <c r="AG9" t="s">
        <v>100</v>
      </c>
      <c r="AH9" s="7">
        <v>0.62</v>
      </c>
      <c r="AI9">
        <v>0</v>
      </c>
      <c r="AJ9">
        <v>0</v>
      </c>
      <c r="AK9">
        <v>0</v>
      </c>
      <c r="AL9">
        <v>0</v>
      </c>
      <c r="AM9" t="s">
        <v>51</v>
      </c>
      <c r="AN9" t="s">
        <v>51</v>
      </c>
      <c r="AO9" t="s">
        <v>51</v>
      </c>
      <c r="AP9" t="s">
        <v>51</v>
      </c>
      <c r="AQ9" t="s">
        <v>47</v>
      </c>
      <c r="AR9" s="2" t="str">
        <f>HYPERLINK("https://keepa.com/#!product/1-B010S8EJC8", "https://keepa.com/#!product/1-B010S8EJC8")</f>
        <v>https://keepa.com/#!product/1-B010S8EJC8</v>
      </c>
      <c r="AS9" s="2" t="str">
        <f>HYPERLINK("https://camelcamelcamel.com/search?sq=B010S8EJC8", "https://camelcamelcamel.com/search?sq=B010S8EJC8")</f>
        <v>https://camelcamelcamel.com/search?sq=B010S8EJC8</v>
      </c>
      <c r="AT9" t="s">
        <v>51</v>
      </c>
      <c r="AU9" s="9">
        <v>46261.994883226726</v>
      </c>
    </row>
    <row r="10" spans="1:52" x14ac:dyDescent="0.2">
      <c r="A10" t="s">
        <v>101</v>
      </c>
      <c r="B10" t="s">
        <v>51</v>
      </c>
      <c r="C10" t="s">
        <v>47</v>
      </c>
      <c r="D10" t="s">
        <v>102</v>
      </c>
      <c r="E10" t="s">
        <v>103</v>
      </c>
      <c r="F10" t="s">
        <v>47</v>
      </c>
      <c r="G10" t="s">
        <v>48</v>
      </c>
      <c r="I10" t="s">
        <v>104</v>
      </c>
      <c r="J10">
        <v>1</v>
      </c>
      <c r="K10" s="2" t="str">
        <f>HYPERLINK("https://www.amazon.com/dp/B016F8M2MY", "https://www.amazon.com/dp/B016F8M2MY")</f>
        <v>https://www.amazon.com/dp/B016F8M2MY</v>
      </c>
      <c r="L10" s="10">
        <v>5</v>
      </c>
      <c r="P10" t="s">
        <v>49</v>
      </c>
      <c r="Q10" t="s">
        <v>75</v>
      </c>
      <c r="S10" s="7">
        <v>16.5</v>
      </c>
      <c r="Z10">
        <v>0</v>
      </c>
      <c r="AF10" s="7">
        <v>0</v>
      </c>
      <c r="AG10" t="s">
        <v>105</v>
      </c>
      <c r="AH10" s="7">
        <v>0.02</v>
      </c>
      <c r="AI10">
        <v>0</v>
      </c>
      <c r="AJ10">
        <v>0</v>
      </c>
      <c r="AK10">
        <v>0</v>
      </c>
      <c r="AL10">
        <v>0</v>
      </c>
      <c r="AM10" t="s">
        <v>51</v>
      </c>
      <c r="AN10" t="s">
        <v>51</v>
      </c>
      <c r="AO10" t="s">
        <v>51</v>
      </c>
      <c r="AP10" t="s">
        <v>102</v>
      </c>
      <c r="AQ10" t="s">
        <v>47</v>
      </c>
      <c r="AR10" s="2" t="str">
        <f>HYPERLINK("https://keepa.com/#!product/1-B016F8M2MY", "https://keepa.com/#!product/1-B016F8M2MY")</f>
        <v>https://keepa.com/#!product/1-B016F8M2MY</v>
      </c>
      <c r="AS10" s="2" t="str">
        <f>HYPERLINK("https://camelcamelcamel.com/search?sq=B016F8M2MY", "https://camelcamelcamel.com/search?sq=B016F8M2MY")</f>
        <v>https://camelcamelcamel.com/search?sq=B016F8M2MY</v>
      </c>
      <c r="AT10" t="s">
        <v>51</v>
      </c>
      <c r="AU10" s="9">
        <v>46261.994883226682</v>
      </c>
    </row>
    <row r="11" spans="1:52" x14ac:dyDescent="0.2">
      <c r="A11" t="s">
        <v>106</v>
      </c>
      <c r="B11" t="s">
        <v>51</v>
      </c>
      <c r="C11" t="s">
        <v>47</v>
      </c>
      <c r="D11" t="s">
        <v>55</v>
      </c>
      <c r="E11" t="s">
        <v>107</v>
      </c>
      <c r="F11" t="s">
        <v>47</v>
      </c>
      <c r="G11" t="s">
        <v>48</v>
      </c>
      <c r="I11" t="s">
        <v>108</v>
      </c>
      <c r="J11">
        <v>1</v>
      </c>
      <c r="K11" s="2" t="str">
        <f>HYPERLINK("https://www.amazon.com/dp/B01H67SJE8", "https://www.amazon.com/dp/B01H67SJE8")</f>
        <v>https://www.amazon.com/dp/B01H67SJE8</v>
      </c>
      <c r="L11" s="10">
        <v>5</v>
      </c>
      <c r="P11" t="s">
        <v>47</v>
      </c>
      <c r="Q11" t="s">
        <v>109</v>
      </c>
      <c r="S11" s="7">
        <v>15.7</v>
      </c>
      <c r="Z11">
        <v>0</v>
      </c>
      <c r="AF11" s="7">
        <v>0</v>
      </c>
      <c r="AG11" t="s">
        <v>110</v>
      </c>
      <c r="AH11" s="7">
        <v>0.71</v>
      </c>
      <c r="AI11">
        <v>0</v>
      </c>
      <c r="AJ11">
        <v>0</v>
      </c>
      <c r="AK11">
        <v>0</v>
      </c>
      <c r="AL11">
        <v>0</v>
      </c>
      <c r="AM11" t="s">
        <v>111</v>
      </c>
      <c r="AN11" t="s">
        <v>112</v>
      </c>
      <c r="AO11" t="s">
        <v>113</v>
      </c>
      <c r="AP11" t="s">
        <v>113</v>
      </c>
      <c r="AQ11" t="s">
        <v>49</v>
      </c>
      <c r="AR11" s="2" t="str">
        <f>HYPERLINK("https://keepa.com/#!product/1-B01H67SJE8", "https://keepa.com/#!product/1-B01H67SJE8")</f>
        <v>https://keepa.com/#!product/1-B01H67SJE8</v>
      </c>
      <c r="AS11" s="2" t="str">
        <f>HYPERLINK("https://camelcamelcamel.com/search?sq=B01H67SJE8", "https://camelcamelcamel.com/search?sq=B01H67SJE8")</f>
        <v>https://camelcamelcamel.com/search?sq=B01H67SJE8</v>
      </c>
      <c r="AT11" t="s">
        <v>51</v>
      </c>
      <c r="AU11" s="9">
        <v>46261.994883226711</v>
      </c>
    </row>
    <row r="12" spans="1:52" x14ac:dyDescent="0.2">
      <c r="A12" t="s">
        <v>114</v>
      </c>
      <c r="B12" t="s">
        <v>51</v>
      </c>
      <c r="C12" t="s">
        <v>47</v>
      </c>
      <c r="D12" t="s">
        <v>115</v>
      </c>
      <c r="E12" t="s">
        <v>116</v>
      </c>
      <c r="F12" t="s">
        <v>47</v>
      </c>
      <c r="G12" t="s">
        <v>48</v>
      </c>
      <c r="I12" t="s">
        <v>117</v>
      </c>
      <c r="J12">
        <v>1</v>
      </c>
      <c r="K12" s="2" t="str">
        <f>HYPERLINK("https://www.amazon.com/dp/B01J5GBKH6", "https://www.amazon.com/dp/B01J5GBKH6")</f>
        <v>https://www.amazon.com/dp/B01J5GBKH6</v>
      </c>
      <c r="L12" s="10">
        <v>5</v>
      </c>
      <c r="P12" t="s">
        <v>49</v>
      </c>
      <c r="Q12" t="s">
        <v>75</v>
      </c>
      <c r="S12" s="7">
        <v>18</v>
      </c>
      <c r="Z12">
        <v>0</v>
      </c>
      <c r="AF12" s="7">
        <v>0</v>
      </c>
      <c r="AG12" t="s">
        <v>118</v>
      </c>
      <c r="AH12" s="7">
        <v>0.6</v>
      </c>
      <c r="AI12">
        <v>0</v>
      </c>
      <c r="AJ12">
        <v>0</v>
      </c>
      <c r="AK12">
        <v>0</v>
      </c>
      <c r="AL12">
        <v>0</v>
      </c>
      <c r="AM12" t="s">
        <v>119</v>
      </c>
      <c r="AN12" t="s">
        <v>120</v>
      </c>
      <c r="AO12" t="s">
        <v>121</v>
      </c>
      <c r="AP12" t="s">
        <v>121</v>
      </c>
      <c r="AQ12" t="s">
        <v>49</v>
      </c>
      <c r="AR12" s="2" t="str">
        <f>HYPERLINK("https://keepa.com/#!product/1-B01J5GBKH6", "https://keepa.com/#!product/1-B01J5GBKH6")</f>
        <v>https://keepa.com/#!product/1-B01J5GBKH6</v>
      </c>
      <c r="AS12" s="2" t="str">
        <f>HYPERLINK("https://camelcamelcamel.com/search?sq=B01J5GBKH6", "https://camelcamelcamel.com/search?sq=B01J5GBKH6")</f>
        <v>https://camelcamelcamel.com/search?sq=B01J5GBKH6</v>
      </c>
      <c r="AT12" t="s">
        <v>51</v>
      </c>
      <c r="AU12" s="9">
        <v>46261.994883226558</v>
      </c>
    </row>
    <row r="13" spans="1:52" x14ac:dyDescent="0.2">
      <c r="A13" t="s">
        <v>122</v>
      </c>
      <c r="B13" t="s">
        <v>51</v>
      </c>
      <c r="C13" t="s">
        <v>47</v>
      </c>
      <c r="D13" t="s">
        <v>123</v>
      </c>
      <c r="E13" t="s">
        <v>54</v>
      </c>
      <c r="F13" t="s">
        <v>47</v>
      </c>
      <c r="G13" t="s">
        <v>48</v>
      </c>
      <c r="I13" t="s">
        <v>124</v>
      </c>
      <c r="J13">
        <v>1</v>
      </c>
      <c r="K13" s="2" t="str">
        <f>HYPERLINK("https://www.amazon.com/dp/B01N5H6JIU", "https://www.amazon.com/dp/B01N5H6JIU")</f>
        <v>https://www.amazon.com/dp/B01N5H6JIU</v>
      </c>
      <c r="L13" s="10">
        <v>5</v>
      </c>
      <c r="P13" t="s">
        <v>49</v>
      </c>
      <c r="Q13" t="s">
        <v>50</v>
      </c>
      <c r="R13" s="6">
        <v>427535</v>
      </c>
      <c r="S13" s="7">
        <v>98</v>
      </c>
      <c r="Z13">
        <v>0</v>
      </c>
      <c r="AF13" s="7">
        <v>0</v>
      </c>
      <c r="AG13" t="s">
        <v>125</v>
      </c>
      <c r="AH13" s="7">
        <v>0.42</v>
      </c>
      <c r="AI13">
        <v>0</v>
      </c>
      <c r="AJ13">
        <v>0</v>
      </c>
      <c r="AK13">
        <v>0</v>
      </c>
      <c r="AL13">
        <v>0</v>
      </c>
      <c r="AM13" t="s">
        <v>54</v>
      </c>
      <c r="AN13" t="s">
        <v>126</v>
      </c>
      <c r="AO13" t="s">
        <v>127</v>
      </c>
      <c r="AP13" t="s">
        <v>127</v>
      </c>
      <c r="AQ13" t="s">
        <v>47</v>
      </c>
      <c r="AR13" s="2" t="str">
        <f>HYPERLINK("https://keepa.com/#!product/1-B01N5H6JIU", "https://keepa.com/#!product/1-B01N5H6JIU")</f>
        <v>https://keepa.com/#!product/1-B01N5H6JIU</v>
      </c>
      <c r="AS13" s="2" t="str">
        <f>HYPERLINK("https://camelcamelcamel.com/search?sq=B01N5H6JIU", "https://camelcamelcamel.com/search?sq=B01N5H6JIU")</f>
        <v>https://camelcamelcamel.com/search?sq=B01N5H6JIU</v>
      </c>
      <c r="AT13" t="s">
        <v>51</v>
      </c>
      <c r="AU13" s="9">
        <v>46261.994883226609</v>
      </c>
    </row>
    <row r="14" spans="1:52" x14ac:dyDescent="0.2">
      <c r="A14" t="s">
        <v>128</v>
      </c>
      <c r="B14" t="s">
        <v>129</v>
      </c>
      <c r="C14" t="s">
        <v>47</v>
      </c>
      <c r="D14" t="s">
        <v>130</v>
      </c>
      <c r="E14" t="s">
        <v>131</v>
      </c>
      <c r="F14" t="s">
        <v>47</v>
      </c>
      <c r="G14" t="s">
        <v>48</v>
      </c>
      <c r="I14" t="s">
        <v>132</v>
      </c>
      <c r="J14">
        <v>1</v>
      </c>
      <c r="K14" s="2" t="str">
        <f>HYPERLINK("https://www.amazon.com/dp/B01N5K834V", "https://www.amazon.com/dp/B01N5K834V")</f>
        <v>https://www.amazon.com/dp/B01N5K834V</v>
      </c>
      <c r="L14" s="3">
        <v>8268</v>
      </c>
      <c r="M14" s="12">
        <v>-5.2</v>
      </c>
      <c r="N14" s="13">
        <v>-0.30769999999999997</v>
      </c>
      <c r="O14" s="13">
        <v>-0.34210000000000002</v>
      </c>
      <c r="P14" t="s">
        <v>49</v>
      </c>
      <c r="Q14" t="s">
        <v>50</v>
      </c>
      <c r="R14" s="6">
        <v>1896</v>
      </c>
      <c r="S14" s="7">
        <v>15.2</v>
      </c>
      <c r="T14" s="7">
        <v>23.33</v>
      </c>
      <c r="U14" s="12">
        <v>16.899999999999999</v>
      </c>
      <c r="V14" s="7">
        <v>16.899999999999999</v>
      </c>
      <c r="W14">
        <v>16.899999999999999</v>
      </c>
      <c r="Y14" s="7">
        <v>2.54</v>
      </c>
      <c r="Z14">
        <v>0</v>
      </c>
      <c r="AA14" s="7">
        <v>4.3600000000000003</v>
      </c>
      <c r="AB14" s="7">
        <v>6.9</v>
      </c>
      <c r="AC14" s="7">
        <v>10</v>
      </c>
      <c r="AD14" s="8">
        <v>0</v>
      </c>
      <c r="AE14" s="7">
        <v>0</v>
      </c>
      <c r="AF14" s="7">
        <v>0</v>
      </c>
      <c r="AG14" t="s">
        <v>133</v>
      </c>
      <c r="AH14" s="7">
        <v>0.55000000000000004</v>
      </c>
      <c r="AI14">
        <v>3</v>
      </c>
      <c r="AJ14">
        <v>3</v>
      </c>
      <c r="AK14">
        <v>0</v>
      </c>
      <c r="AL14">
        <v>2</v>
      </c>
      <c r="AM14" t="s">
        <v>134</v>
      </c>
      <c r="AN14" t="s">
        <v>51</v>
      </c>
      <c r="AO14" t="s">
        <v>135</v>
      </c>
      <c r="AP14" t="s">
        <v>135</v>
      </c>
      <c r="AQ14" t="s">
        <v>47</v>
      </c>
      <c r="AR14" s="2" t="str">
        <f>HYPERLINK("https://keepa.com/#!product/1-B01N5K834V", "https://keepa.com/#!product/1-B01N5K834V")</f>
        <v>https://keepa.com/#!product/1-B01N5K834V</v>
      </c>
      <c r="AS14" s="2" t="str">
        <f>HYPERLINK("https://camelcamelcamel.com/search?sq=B01N5K834V", "https://camelcamelcamel.com/search?sq=B01N5K834V")</f>
        <v>https://camelcamelcamel.com/search?sq=B01N5K834V</v>
      </c>
      <c r="AT14" t="s">
        <v>51</v>
      </c>
      <c r="AU14" s="9">
        <v>46261.99488322658</v>
      </c>
    </row>
    <row r="15" spans="1:52" x14ac:dyDescent="0.2">
      <c r="A15" t="s">
        <v>136</v>
      </c>
      <c r="B15" t="s">
        <v>51</v>
      </c>
      <c r="C15" t="s">
        <v>47</v>
      </c>
      <c r="D15" t="s">
        <v>137</v>
      </c>
      <c r="E15" t="s">
        <v>138</v>
      </c>
      <c r="F15" t="s">
        <v>47</v>
      </c>
      <c r="G15" t="s">
        <v>61</v>
      </c>
      <c r="H15" s="2" t="str">
        <f>HYPERLINK("https://sellercentral.amazon.com/hz/approvalrequest/restrictions/approve?asin=B06XKSHM2L", "https://sellercentral.amazon.com/hz/approvalrequest/restrictions/approve?asin=B06XKSHM2L")</f>
        <v>https://sellercentral.amazon.com/hz/approvalrequest/restrictions/approve?asin=B06XKSHM2L</v>
      </c>
      <c r="I15" t="s">
        <v>139</v>
      </c>
      <c r="J15">
        <v>1</v>
      </c>
      <c r="K15" s="2" t="str">
        <f>HYPERLINK("https://www.amazon.com/dp/B06XKSHM2L", "https://www.amazon.com/dp/B06XKSHM2L")</f>
        <v>https://www.amazon.com/dp/B06XKSHM2L</v>
      </c>
      <c r="L15" s="11">
        <v>46</v>
      </c>
      <c r="M15" s="12">
        <v>-0.5</v>
      </c>
      <c r="N15" s="13">
        <v>-2.5000000000000001E-2</v>
      </c>
      <c r="O15" s="13">
        <v>-3.73E-2</v>
      </c>
      <c r="P15" t="s">
        <v>49</v>
      </c>
      <c r="Q15" t="s">
        <v>50</v>
      </c>
      <c r="R15" s="6">
        <v>151886</v>
      </c>
      <c r="S15" s="7">
        <v>13.4</v>
      </c>
      <c r="T15" s="7">
        <v>20.91</v>
      </c>
      <c r="U15" s="12">
        <v>20</v>
      </c>
      <c r="V15" s="7">
        <v>20</v>
      </c>
      <c r="W15">
        <v>20</v>
      </c>
      <c r="X15">
        <v>25.99</v>
      </c>
      <c r="Y15" s="7">
        <v>3</v>
      </c>
      <c r="Z15">
        <v>0</v>
      </c>
      <c r="AA15" s="7">
        <v>4.0999999999999996</v>
      </c>
      <c r="AB15" s="7">
        <v>7.1</v>
      </c>
      <c r="AC15" s="7">
        <v>12.9</v>
      </c>
      <c r="AD15" s="8">
        <v>0</v>
      </c>
      <c r="AE15" s="7">
        <v>0</v>
      </c>
      <c r="AF15" s="7">
        <v>0</v>
      </c>
      <c r="AG15" t="s">
        <v>140</v>
      </c>
      <c r="AH15" s="7">
        <v>0.35</v>
      </c>
      <c r="AI15">
        <v>4</v>
      </c>
      <c r="AJ15">
        <v>3</v>
      </c>
      <c r="AK15">
        <v>1</v>
      </c>
      <c r="AL15">
        <v>1</v>
      </c>
      <c r="AM15" t="s">
        <v>141</v>
      </c>
      <c r="AN15" t="s">
        <v>51</v>
      </c>
      <c r="AO15" t="s">
        <v>142</v>
      </c>
      <c r="AP15" t="s">
        <v>142</v>
      </c>
      <c r="AQ15" t="s">
        <v>47</v>
      </c>
      <c r="AR15" s="2" t="str">
        <f>HYPERLINK("https://keepa.com/#!product/1-B06XKSHM2L", "https://keepa.com/#!product/1-B06XKSHM2L")</f>
        <v>https://keepa.com/#!product/1-B06XKSHM2L</v>
      </c>
      <c r="AS15" s="2" t="str">
        <f>HYPERLINK("https://camelcamelcamel.com/search?sq=B06XKSHM2L", "https://camelcamelcamel.com/search?sq=B06XKSHM2L")</f>
        <v>https://camelcamelcamel.com/search?sq=B06XKSHM2L</v>
      </c>
      <c r="AT15" t="s">
        <v>51</v>
      </c>
      <c r="AU15" s="9">
        <v>46261.994883226806</v>
      </c>
    </row>
    <row r="16" spans="1:52" x14ac:dyDescent="0.2">
      <c r="A16" t="s">
        <v>143</v>
      </c>
      <c r="B16" t="s">
        <v>144</v>
      </c>
      <c r="C16" t="s">
        <v>47</v>
      </c>
      <c r="D16" t="s">
        <v>145</v>
      </c>
      <c r="E16" t="s">
        <v>88</v>
      </c>
      <c r="F16" t="s">
        <v>49</v>
      </c>
      <c r="G16" t="s">
        <v>61</v>
      </c>
      <c r="H16" s="2" t="str">
        <f>HYPERLINK("https://sellercentral.amazon.com/hz/approvalrequest/restrictions/approve?asin=B075R93LH4", "https://sellercentral.amazon.com/hz/approvalrequest/restrictions/approve?asin=B075R93LH4")</f>
        <v>https://sellercentral.amazon.com/hz/approvalrequest/restrictions/approve?asin=B075R93LH4</v>
      </c>
      <c r="I16" t="s">
        <v>146</v>
      </c>
      <c r="J16">
        <v>1</v>
      </c>
      <c r="K16" s="2" t="str">
        <f>HYPERLINK("https://www.amazon.com/dp/B075R93LH4", "https://www.amazon.com/dp/B075R93LH4")</f>
        <v>https://www.amazon.com/dp/B075R93LH4</v>
      </c>
      <c r="L16" s="3">
        <v>207</v>
      </c>
      <c r="M16" s="12">
        <v>-30.86</v>
      </c>
      <c r="N16" s="13">
        <v>-0.68579999999999997</v>
      </c>
      <c r="O16" s="13">
        <v>-0.47479999999999994</v>
      </c>
      <c r="P16" t="s">
        <v>49</v>
      </c>
      <c r="Q16" t="s">
        <v>50</v>
      </c>
      <c r="R16" s="6">
        <v>58576</v>
      </c>
      <c r="S16" s="7">
        <v>65</v>
      </c>
      <c r="T16" s="7">
        <v>81.63</v>
      </c>
      <c r="U16" s="12">
        <v>45</v>
      </c>
      <c r="V16" s="7">
        <v>45</v>
      </c>
      <c r="W16">
        <v>45</v>
      </c>
      <c r="X16">
        <v>87.65</v>
      </c>
      <c r="Y16" s="7">
        <v>6.75</v>
      </c>
      <c r="Z16">
        <v>0</v>
      </c>
      <c r="AA16" s="7">
        <v>4.1100000000000003</v>
      </c>
      <c r="AB16" s="7">
        <v>10.86</v>
      </c>
      <c r="AC16" s="7">
        <v>34.14</v>
      </c>
      <c r="AD16" s="8">
        <v>0</v>
      </c>
      <c r="AE16" s="7">
        <v>0</v>
      </c>
      <c r="AF16" s="7">
        <v>0</v>
      </c>
      <c r="AG16" t="s">
        <v>147</v>
      </c>
      <c r="AH16" s="7">
        <v>0.33</v>
      </c>
      <c r="AI16">
        <v>2</v>
      </c>
      <c r="AJ16">
        <v>1</v>
      </c>
      <c r="AK16">
        <v>1</v>
      </c>
      <c r="AL16">
        <v>1</v>
      </c>
      <c r="AM16" t="s">
        <v>88</v>
      </c>
      <c r="AN16" t="s">
        <v>148</v>
      </c>
      <c r="AO16" t="s">
        <v>149</v>
      </c>
      <c r="AP16" t="s">
        <v>150</v>
      </c>
      <c r="AQ16" t="s">
        <v>47</v>
      </c>
      <c r="AR16" s="2" t="str">
        <f>HYPERLINK("https://keepa.com/#!product/1-B075R93LH4", "https://keepa.com/#!product/1-B075R93LH4")</f>
        <v>https://keepa.com/#!product/1-B075R93LH4</v>
      </c>
      <c r="AS16" s="2" t="str">
        <f>HYPERLINK("https://camelcamelcamel.com/search?sq=B075R93LH4", "https://camelcamelcamel.com/search?sq=B075R93LH4")</f>
        <v>https://camelcamelcamel.com/search?sq=B075R93LH4</v>
      </c>
      <c r="AT16" t="s">
        <v>51</v>
      </c>
      <c r="AU16" s="9">
        <v>46261.99488322674</v>
      </c>
    </row>
    <row r="17" spans="1:47" x14ac:dyDescent="0.2">
      <c r="A17" t="s">
        <v>151</v>
      </c>
      <c r="B17" t="s">
        <v>51</v>
      </c>
      <c r="C17" t="s">
        <v>47</v>
      </c>
      <c r="D17" t="s">
        <v>152</v>
      </c>
      <c r="E17" t="s">
        <v>153</v>
      </c>
      <c r="F17" t="s">
        <v>47</v>
      </c>
      <c r="G17" t="s">
        <v>48</v>
      </c>
      <c r="I17" t="s">
        <v>154</v>
      </c>
      <c r="J17">
        <v>1</v>
      </c>
      <c r="K17" s="2" t="str">
        <f>HYPERLINK("https://www.amazon.com/dp/B07BWKBRS5", "https://www.amazon.com/dp/B07BWKBRS5")</f>
        <v>https://www.amazon.com/dp/B07BWKBRS5</v>
      </c>
      <c r="L17" s="11">
        <v>50</v>
      </c>
      <c r="M17" s="4">
        <v>4.1399999999999997</v>
      </c>
      <c r="N17" s="5">
        <v>0.20699999999999999</v>
      </c>
      <c r="O17" s="5">
        <v>0.46</v>
      </c>
      <c r="P17" t="s">
        <v>49</v>
      </c>
      <c r="Q17" t="s">
        <v>50</v>
      </c>
      <c r="R17" s="6">
        <v>143213</v>
      </c>
      <c r="S17" s="7">
        <v>9</v>
      </c>
      <c r="T17" s="7">
        <v>15.45</v>
      </c>
      <c r="U17" s="4">
        <v>20</v>
      </c>
      <c r="V17" s="7">
        <v>20</v>
      </c>
      <c r="W17">
        <v>20</v>
      </c>
      <c r="X17">
        <v>24.99</v>
      </c>
      <c r="Y17" s="7">
        <v>3</v>
      </c>
      <c r="Z17">
        <v>0</v>
      </c>
      <c r="AA17" s="7">
        <v>3.86</v>
      </c>
      <c r="AB17" s="7">
        <v>6.86</v>
      </c>
      <c r="AC17" s="7">
        <v>13.14</v>
      </c>
      <c r="AD17" s="8">
        <v>0</v>
      </c>
      <c r="AE17" s="7">
        <v>0</v>
      </c>
      <c r="AF17" s="7">
        <v>0</v>
      </c>
      <c r="AG17" t="s">
        <v>155</v>
      </c>
      <c r="AH17" s="7">
        <v>0.18</v>
      </c>
      <c r="AI17">
        <v>6</v>
      </c>
      <c r="AJ17">
        <v>5</v>
      </c>
      <c r="AK17">
        <v>1</v>
      </c>
      <c r="AL17">
        <v>5</v>
      </c>
      <c r="AM17" t="s">
        <v>51</v>
      </c>
      <c r="AN17" t="s">
        <v>156</v>
      </c>
      <c r="AO17" t="s">
        <v>152</v>
      </c>
      <c r="AP17" t="s">
        <v>157</v>
      </c>
      <c r="AQ17" t="s">
        <v>47</v>
      </c>
      <c r="AR17" s="2" t="str">
        <f>HYPERLINK("https://keepa.com/#!product/1-B07BWKBRS5", "https://keepa.com/#!product/1-B07BWKBRS5")</f>
        <v>https://keepa.com/#!product/1-B07BWKBRS5</v>
      </c>
      <c r="AS17" s="2" t="str">
        <f>HYPERLINK("https://camelcamelcamel.com/search?sq=B07BWKBRS5", "https://camelcamelcamel.com/search?sq=B07BWKBRS5")</f>
        <v>https://camelcamelcamel.com/search?sq=B07BWKBRS5</v>
      </c>
      <c r="AT17" t="s">
        <v>51</v>
      </c>
      <c r="AU17" s="9">
        <v>46261.994883226747</v>
      </c>
    </row>
    <row r="18" spans="1:47" x14ac:dyDescent="0.2">
      <c r="A18" t="s">
        <v>158</v>
      </c>
      <c r="B18" t="s">
        <v>51</v>
      </c>
      <c r="C18" t="s">
        <v>47</v>
      </c>
      <c r="D18" t="s">
        <v>159</v>
      </c>
      <c r="E18" t="s">
        <v>56</v>
      </c>
      <c r="F18" t="s">
        <v>47</v>
      </c>
      <c r="G18" t="s">
        <v>48</v>
      </c>
      <c r="I18" t="s">
        <v>160</v>
      </c>
      <c r="J18">
        <v>1</v>
      </c>
      <c r="K18" s="2" t="str">
        <f>HYPERLINK("https://www.amazon.com/dp/B07FDHRZ6Y", "https://www.amazon.com/dp/B07FDHRZ6Y")</f>
        <v>https://www.amazon.com/dp/B07FDHRZ6Y</v>
      </c>
      <c r="L18" s="11">
        <v>24</v>
      </c>
      <c r="M18" s="4">
        <v>5.16</v>
      </c>
      <c r="N18" s="5">
        <v>0.15329999999999999</v>
      </c>
      <c r="O18" s="5">
        <v>0.27889999999999998</v>
      </c>
      <c r="P18" t="s">
        <v>49</v>
      </c>
      <c r="Q18" t="s">
        <v>50</v>
      </c>
      <c r="R18" s="6">
        <v>218395</v>
      </c>
      <c r="S18" s="7">
        <v>18.5</v>
      </c>
      <c r="T18" s="7">
        <v>27.9</v>
      </c>
      <c r="U18" s="4">
        <v>33.65</v>
      </c>
      <c r="W18">
        <v>33.65</v>
      </c>
      <c r="X18">
        <v>33.700000000000003</v>
      </c>
      <c r="Y18" s="7">
        <v>5.05</v>
      </c>
      <c r="Z18">
        <v>0</v>
      </c>
      <c r="AA18" s="7">
        <v>4.9400000000000004</v>
      </c>
      <c r="AB18" s="7">
        <v>9.99</v>
      </c>
      <c r="AC18" s="7">
        <v>23.66</v>
      </c>
      <c r="AD18" s="8">
        <v>0</v>
      </c>
      <c r="AE18" s="7">
        <v>0</v>
      </c>
      <c r="AF18" s="7">
        <v>0</v>
      </c>
      <c r="AG18" t="s">
        <v>161</v>
      </c>
      <c r="AH18" s="7">
        <v>0.37</v>
      </c>
      <c r="AI18">
        <v>10</v>
      </c>
      <c r="AJ18">
        <v>4</v>
      </c>
      <c r="AK18">
        <v>6</v>
      </c>
      <c r="AL18">
        <v>0</v>
      </c>
      <c r="AM18" t="s">
        <v>56</v>
      </c>
      <c r="AN18" t="s">
        <v>162</v>
      </c>
      <c r="AO18" t="s">
        <v>163</v>
      </c>
      <c r="AP18" t="s">
        <v>163</v>
      </c>
      <c r="AQ18" t="s">
        <v>49</v>
      </c>
      <c r="AR18" s="2" t="str">
        <f>HYPERLINK("https://keepa.com/#!product/1-B07FDHRZ6Y", "https://keepa.com/#!product/1-B07FDHRZ6Y")</f>
        <v>https://keepa.com/#!product/1-B07FDHRZ6Y</v>
      </c>
      <c r="AS18" s="2" t="str">
        <f>HYPERLINK("https://camelcamelcamel.com/search?sq=B07FDHRZ6Y", "https://camelcamelcamel.com/search?sq=B07FDHRZ6Y")</f>
        <v>https://camelcamelcamel.com/search?sq=B07FDHRZ6Y</v>
      </c>
      <c r="AT18" t="s">
        <v>51</v>
      </c>
      <c r="AU18" s="9">
        <v>46261.994883226798</v>
      </c>
    </row>
    <row r="19" spans="1:47" x14ac:dyDescent="0.2">
      <c r="A19" t="s">
        <v>164</v>
      </c>
      <c r="B19" t="s">
        <v>51</v>
      </c>
      <c r="C19" t="s">
        <v>47</v>
      </c>
      <c r="D19" t="s">
        <v>165</v>
      </c>
      <c r="E19" t="s">
        <v>54</v>
      </c>
      <c r="F19" t="s">
        <v>47</v>
      </c>
      <c r="G19" t="s">
        <v>48</v>
      </c>
      <c r="I19" t="s">
        <v>166</v>
      </c>
      <c r="J19">
        <v>1</v>
      </c>
      <c r="K19" s="2" t="str">
        <f>HYPERLINK("https://www.amazon.com/dp/B07R2D77FC", "https://www.amazon.com/dp/B07R2D77FC")</f>
        <v>https://www.amazon.com/dp/B07R2D77FC</v>
      </c>
      <c r="L19" s="10">
        <v>5</v>
      </c>
      <c r="M19" s="4">
        <v>32.619999999999997</v>
      </c>
      <c r="N19" s="5">
        <v>0.31069999999999998</v>
      </c>
      <c r="O19" s="5">
        <v>0.62130000000000007</v>
      </c>
      <c r="P19" t="s">
        <v>49</v>
      </c>
      <c r="Q19" t="s">
        <v>50</v>
      </c>
      <c r="R19" s="6">
        <v>254291</v>
      </c>
      <c r="S19" s="7">
        <v>52.5</v>
      </c>
      <c r="T19" s="7">
        <v>66.63</v>
      </c>
      <c r="U19" s="4">
        <v>105</v>
      </c>
      <c r="W19">
        <v>105</v>
      </c>
      <c r="X19">
        <v>90</v>
      </c>
      <c r="Y19" s="7">
        <v>15.75</v>
      </c>
      <c r="Z19">
        <v>0</v>
      </c>
      <c r="AA19" s="7">
        <v>4.13</v>
      </c>
      <c r="AB19" s="7">
        <v>19.88</v>
      </c>
      <c r="AC19" s="7">
        <v>85.12</v>
      </c>
      <c r="AD19" s="8">
        <v>0</v>
      </c>
      <c r="AE19" s="7">
        <v>0</v>
      </c>
      <c r="AF19" s="7">
        <v>0</v>
      </c>
      <c r="AG19" t="s">
        <v>167</v>
      </c>
      <c r="AH19" s="7">
        <v>0.09</v>
      </c>
      <c r="AI19">
        <v>5</v>
      </c>
      <c r="AJ19">
        <v>1</v>
      </c>
      <c r="AK19">
        <v>4</v>
      </c>
      <c r="AL19">
        <v>0</v>
      </c>
      <c r="AM19" t="s">
        <v>54</v>
      </c>
      <c r="AN19" t="s">
        <v>168</v>
      </c>
      <c r="AO19" t="s">
        <v>169</v>
      </c>
      <c r="AP19" t="s">
        <v>169</v>
      </c>
      <c r="AQ19" t="s">
        <v>47</v>
      </c>
      <c r="AR19" s="2" t="str">
        <f>HYPERLINK("https://keepa.com/#!product/1-B07R2D77FC", "https://keepa.com/#!product/1-B07R2D77FC")</f>
        <v>https://keepa.com/#!product/1-B07R2D77FC</v>
      </c>
      <c r="AS19" s="2" t="str">
        <f>HYPERLINK("https://camelcamelcamel.com/search?sq=B07R2D77FC", "https://camelcamelcamel.com/search?sq=B07R2D77FC")</f>
        <v>https://camelcamelcamel.com/search?sq=B07R2D77FC</v>
      </c>
      <c r="AT19" t="s">
        <v>51</v>
      </c>
      <c r="AU19" s="9">
        <v>46261.994883226682</v>
      </c>
    </row>
    <row r="20" spans="1:47" x14ac:dyDescent="0.2">
      <c r="A20" t="s">
        <v>170</v>
      </c>
      <c r="B20" t="s">
        <v>171</v>
      </c>
      <c r="C20" t="s">
        <v>47</v>
      </c>
      <c r="D20" t="s">
        <v>172</v>
      </c>
      <c r="E20" t="s">
        <v>173</v>
      </c>
      <c r="F20" t="s">
        <v>47</v>
      </c>
      <c r="G20" t="s">
        <v>61</v>
      </c>
      <c r="H20" s="2" t="str">
        <f>HYPERLINK("https://sellercentral.amazon.com/hz/approvalrequest/restrictions/approve?asin=B07SL2NXGT", "https://sellercentral.amazon.com/hz/approvalrequest/restrictions/approve?asin=B07SL2NXGT")</f>
        <v>https://sellercentral.amazon.com/hz/approvalrequest/restrictions/approve?asin=B07SL2NXGT</v>
      </c>
      <c r="I20" t="s">
        <v>174</v>
      </c>
      <c r="J20">
        <v>1</v>
      </c>
      <c r="K20" s="2" t="str">
        <f>HYPERLINK("https://www.amazon.com/dp/B07SL2NXGT", "https://www.amazon.com/dp/B07SL2NXGT")</f>
        <v>https://www.amazon.com/dp/B07SL2NXGT</v>
      </c>
      <c r="L20" s="3">
        <v>1138</v>
      </c>
      <c r="M20" s="14">
        <v>0.84</v>
      </c>
      <c r="N20" s="5">
        <v>4.6699999999999998E-2</v>
      </c>
      <c r="O20" s="5">
        <v>7.6399999999999996E-2</v>
      </c>
      <c r="P20" t="s">
        <v>49</v>
      </c>
      <c r="Q20" t="s">
        <v>50</v>
      </c>
      <c r="R20" s="6">
        <v>15774</v>
      </c>
      <c r="S20" s="7">
        <v>11</v>
      </c>
      <c r="T20" s="7">
        <v>17.309999999999999</v>
      </c>
      <c r="U20" s="4">
        <v>17.98</v>
      </c>
      <c r="V20" s="7">
        <v>17.98</v>
      </c>
      <c r="W20">
        <v>17.98</v>
      </c>
      <c r="Y20" s="7">
        <v>2.7</v>
      </c>
      <c r="Z20">
        <v>0</v>
      </c>
      <c r="AA20" s="7">
        <v>3.44</v>
      </c>
      <c r="AB20" s="7">
        <v>6.14</v>
      </c>
      <c r="AC20" s="7">
        <v>11.84</v>
      </c>
      <c r="AD20" s="8">
        <v>0</v>
      </c>
      <c r="AE20" s="7">
        <v>0</v>
      </c>
      <c r="AF20" s="7">
        <v>0</v>
      </c>
      <c r="AG20" t="s">
        <v>175</v>
      </c>
      <c r="AH20" s="7">
        <v>0.11</v>
      </c>
      <c r="AI20">
        <v>6</v>
      </c>
      <c r="AJ20">
        <v>6</v>
      </c>
      <c r="AK20">
        <v>0</v>
      </c>
      <c r="AL20">
        <v>3</v>
      </c>
      <c r="AM20" t="s">
        <v>173</v>
      </c>
      <c r="AN20" t="s">
        <v>176</v>
      </c>
      <c r="AO20" t="s">
        <v>177</v>
      </c>
      <c r="AP20" t="s">
        <v>177</v>
      </c>
      <c r="AQ20" t="s">
        <v>47</v>
      </c>
      <c r="AR20" s="2" t="str">
        <f>HYPERLINK("https://keepa.com/#!product/1-B07SL2NXGT", "https://keepa.com/#!product/1-B07SL2NXGT")</f>
        <v>https://keepa.com/#!product/1-B07SL2NXGT</v>
      </c>
      <c r="AS20" s="2" t="str">
        <f>HYPERLINK("https://camelcamelcamel.com/search?sq=B07SL2NXGT", "https://camelcamelcamel.com/search?sq=B07SL2NXGT")</f>
        <v>https://camelcamelcamel.com/search?sq=B07SL2NXGT</v>
      </c>
      <c r="AT20" t="s">
        <v>51</v>
      </c>
      <c r="AU20" s="9">
        <v>46261.994883226726</v>
      </c>
    </row>
    <row r="21" spans="1:47" x14ac:dyDescent="0.2">
      <c r="A21" t="s">
        <v>178</v>
      </c>
      <c r="B21" t="s">
        <v>171</v>
      </c>
      <c r="C21" t="s">
        <v>47</v>
      </c>
      <c r="D21" t="s">
        <v>179</v>
      </c>
      <c r="E21" t="s">
        <v>173</v>
      </c>
      <c r="F21" t="s">
        <v>47</v>
      </c>
      <c r="G21" t="s">
        <v>61</v>
      </c>
      <c r="H21" s="2" t="str">
        <f>HYPERLINK("https://sellercentral.amazon.com/hz/approvalrequest/restrictions/approve?asin=B07SNB6B6X", "https://sellercentral.amazon.com/hz/approvalrequest/restrictions/approve?asin=B07SNB6B6X")</f>
        <v>https://sellercentral.amazon.com/hz/approvalrequest/restrictions/approve?asin=B07SNB6B6X</v>
      </c>
      <c r="I21" t="s">
        <v>180</v>
      </c>
      <c r="J21">
        <v>1</v>
      </c>
      <c r="K21" s="2" t="str">
        <f>HYPERLINK("https://www.amazon.com/dp/B07SNB6B6X", "https://www.amazon.com/dp/B07SNB6B6X")</f>
        <v>https://www.amazon.com/dp/B07SNB6B6X</v>
      </c>
      <c r="L21" s="3">
        <v>1138</v>
      </c>
      <c r="M21" s="14">
        <v>0.22</v>
      </c>
      <c r="N21" s="5">
        <v>1.2699999999999999E-2</v>
      </c>
      <c r="O21" s="5">
        <v>0.02</v>
      </c>
      <c r="P21" t="s">
        <v>49</v>
      </c>
      <c r="Q21" t="s">
        <v>50</v>
      </c>
      <c r="R21" s="6">
        <v>15774</v>
      </c>
      <c r="S21" s="7">
        <v>11</v>
      </c>
      <c r="T21" s="7">
        <v>17.32</v>
      </c>
      <c r="U21" s="12">
        <v>17.260000000000002</v>
      </c>
      <c r="V21" s="7">
        <v>17.260000000000002</v>
      </c>
      <c r="W21">
        <v>17.260000000000002</v>
      </c>
      <c r="X21">
        <v>17.260000000000002</v>
      </c>
      <c r="Y21" s="7">
        <v>2.59</v>
      </c>
      <c r="Z21">
        <v>0</v>
      </c>
      <c r="AA21" s="7">
        <v>3.45</v>
      </c>
      <c r="AB21" s="7">
        <v>6.04</v>
      </c>
      <c r="AC21" s="7">
        <v>11.22</v>
      </c>
      <c r="AD21" s="8">
        <v>0</v>
      </c>
      <c r="AE21" s="7">
        <v>0</v>
      </c>
      <c r="AF21" s="7">
        <v>0</v>
      </c>
      <c r="AG21" t="s">
        <v>181</v>
      </c>
      <c r="AH21" s="7">
        <v>0.11</v>
      </c>
      <c r="AI21">
        <v>7</v>
      </c>
      <c r="AJ21">
        <v>5</v>
      </c>
      <c r="AK21">
        <v>2</v>
      </c>
      <c r="AL21">
        <v>4</v>
      </c>
      <c r="AM21" t="s">
        <v>182</v>
      </c>
      <c r="AN21" t="s">
        <v>183</v>
      </c>
      <c r="AO21" t="s">
        <v>184</v>
      </c>
      <c r="AP21" t="s">
        <v>184</v>
      </c>
      <c r="AQ21" t="s">
        <v>47</v>
      </c>
      <c r="AR21" s="2" t="str">
        <f>HYPERLINK("https://keepa.com/#!product/1-B07SNB6B6X", "https://keepa.com/#!product/1-B07SNB6B6X")</f>
        <v>https://keepa.com/#!product/1-B07SNB6B6X</v>
      </c>
      <c r="AS21" s="2" t="str">
        <f>HYPERLINK("https://camelcamelcamel.com/search?sq=B07SNB6B6X", "https://camelcamelcamel.com/search?sq=B07SNB6B6X")</f>
        <v>https://camelcamelcamel.com/search?sq=B07SNB6B6X</v>
      </c>
      <c r="AT21" t="s">
        <v>51</v>
      </c>
      <c r="AU21" s="9">
        <v>46261.994883226798</v>
      </c>
    </row>
    <row r="22" spans="1:47" x14ac:dyDescent="0.2">
      <c r="A22" t="s">
        <v>185</v>
      </c>
      <c r="B22" t="s">
        <v>51</v>
      </c>
      <c r="C22" t="s">
        <v>47</v>
      </c>
      <c r="D22" t="s">
        <v>68</v>
      </c>
      <c r="E22" t="s">
        <v>54</v>
      </c>
      <c r="F22" t="s">
        <v>47</v>
      </c>
      <c r="G22" t="s">
        <v>48</v>
      </c>
      <c r="I22" t="s">
        <v>186</v>
      </c>
      <c r="J22">
        <v>1</v>
      </c>
      <c r="K22" s="2" t="str">
        <f>HYPERLINK("https://www.amazon.com/dp/B07VXBPG57", "https://www.amazon.com/dp/B07VXBPG57")</f>
        <v>https://www.amazon.com/dp/B07VXBPG57</v>
      </c>
      <c r="L22" s="10">
        <v>5</v>
      </c>
      <c r="P22" t="s">
        <v>49</v>
      </c>
      <c r="Q22" t="s">
        <v>50</v>
      </c>
      <c r="R22" s="6">
        <v>395701</v>
      </c>
      <c r="S22" s="7">
        <v>260</v>
      </c>
      <c r="Z22">
        <v>0</v>
      </c>
      <c r="AF22" s="7">
        <v>0</v>
      </c>
      <c r="AG22" t="s">
        <v>187</v>
      </c>
      <c r="AH22" s="7">
        <v>1.1399999999999999</v>
      </c>
      <c r="AI22">
        <v>0</v>
      </c>
      <c r="AJ22">
        <v>0</v>
      </c>
      <c r="AK22">
        <v>0</v>
      </c>
      <c r="AL22">
        <v>0</v>
      </c>
      <c r="AM22" t="s">
        <v>54</v>
      </c>
      <c r="AN22" t="s">
        <v>51</v>
      </c>
      <c r="AO22" t="s">
        <v>188</v>
      </c>
      <c r="AP22" t="s">
        <v>188</v>
      </c>
      <c r="AQ22" t="s">
        <v>47</v>
      </c>
      <c r="AR22" s="2" t="str">
        <f>HYPERLINK("https://keepa.com/#!product/1-B07VXBPG57", "https://keepa.com/#!product/1-B07VXBPG57")</f>
        <v>https://keepa.com/#!product/1-B07VXBPG57</v>
      </c>
      <c r="AS22" s="2" t="str">
        <f>HYPERLINK("https://camelcamelcamel.com/search?sq=B07VXBPG57", "https://camelcamelcamel.com/search?sq=B07VXBPG57")</f>
        <v>https://camelcamelcamel.com/search?sq=B07VXBPG57</v>
      </c>
      <c r="AT22" t="s">
        <v>51</v>
      </c>
      <c r="AU22" s="9">
        <v>46261.994883226675</v>
      </c>
    </row>
    <row r="23" spans="1:47" x14ac:dyDescent="0.2">
      <c r="A23" t="s">
        <v>189</v>
      </c>
      <c r="B23" t="s">
        <v>171</v>
      </c>
      <c r="C23" t="s">
        <v>47</v>
      </c>
      <c r="D23" t="s">
        <v>190</v>
      </c>
      <c r="E23" t="s">
        <v>173</v>
      </c>
      <c r="F23" t="s">
        <v>47</v>
      </c>
      <c r="G23" t="s">
        <v>61</v>
      </c>
      <c r="H23" s="2" t="str">
        <f>HYPERLINK("https://sellercentral.amazon.com/hz/approvalrequest/restrictions/approve?asin=B07YTVV8WM", "https://sellercentral.amazon.com/hz/approvalrequest/restrictions/approve?asin=B07YTVV8WM")</f>
        <v>https://sellercentral.amazon.com/hz/approvalrequest/restrictions/approve?asin=B07YTVV8WM</v>
      </c>
      <c r="I23" t="s">
        <v>191</v>
      </c>
      <c r="J23">
        <v>1</v>
      </c>
      <c r="K23" s="2" t="str">
        <f>HYPERLINK("https://www.amazon.com/dp/B07YTVV8WM", "https://www.amazon.com/dp/B07YTVV8WM")</f>
        <v>https://www.amazon.com/dp/B07YTVV8WM</v>
      </c>
      <c r="L23" s="3">
        <v>1138</v>
      </c>
      <c r="M23" s="12">
        <v>-0.03</v>
      </c>
      <c r="N23" s="13">
        <v>-1.8E-3</v>
      </c>
      <c r="O23" s="13">
        <v>-2.7000000000000001E-3</v>
      </c>
      <c r="P23" t="s">
        <v>49</v>
      </c>
      <c r="Q23" t="s">
        <v>50</v>
      </c>
      <c r="R23" s="6">
        <v>15774</v>
      </c>
      <c r="S23" s="7">
        <v>11</v>
      </c>
      <c r="T23" s="7">
        <v>17.309999999999999</v>
      </c>
      <c r="U23" s="12">
        <v>16.95</v>
      </c>
      <c r="V23" s="7">
        <v>16.95</v>
      </c>
      <c r="W23">
        <v>16.45</v>
      </c>
      <c r="X23">
        <v>16.45</v>
      </c>
      <c r="Y23" s="7">
        <v>2.54</v>
      </c>
      <c r="Z23">
        <v>0</v>
      </c>
      <c r="AA23" s="7">
        <v>3.44</v>
      </c>
      <c r="AB23" s="7">
        <v>5.98</v>
      </c>
      <c r="AC23" s="7">
        <v>10.97</v>
      </c>
      <c r="AD23" s="8">
        <v>0</v>
      </c>
      <c r="AE23" s="7">
        <v>0</v>
      </c>
      <c r="AF23" s="7">
        <v>0</v>
      </c>
      <c r="AG23" t="s">
        <v>192</v>
      </c>
      <c r="AH23" s="7">
        <v>0.09</v>
      </c>
      <c r="AI23">
        <v>13</v>
      </c>
      <c r="AJ23">
        <v>11</v>
      </c>
      <c r="AK23">
        <v>2</v>
      </c>
      <c r="AL23">
        <v>7</v>
      </c>
      <c r="AM23" t="s">
        <v>182</v>
      </c>
      <c r="AN23" t="s">
        <v>193</v>
      </c>
      <c r="AO23" t="s">
        <v>190</v>
      </c>
      <c r="AP23" t="s">
        <v>190</v>
      </c>
      <c r="AQ23" t="s">
        <v>47</v>
      </c>
      <c r="AR23" s="2" t="str">
        <f>HYPERLINK("https://keepa.com/#!product/1-B07YTVV8WM", "https://keepa.com/#!product/1-B07YTVV8WM")</f>
        <v>https://keepa.com/#!product/1-B07YTVV8WM</v>
      </c>
      <c r="AS23" s="2" t="str">
        <f>HYPERLINK("https://camelcamelcamel.com/search?sq=B07YTVV8WM", "https://camelcamelcamel.com/search?sq=B07YTVV8WM")</f>
        <v>https://camelcamelcamel.com/search?sq=B07YTVV8WM</v>
      </c>
      <c r="AT23" t="s">
        <v>51</v>
      </c>
      <c r="AU23" s="9">
        <v>46261.994883226813</v>
      </c>
    </row>
    <row r="24" spans="1:47" x14ac:dyDescent="0.2">
      <c r="A24" t="s">
        <v>194</v>
      </c>
      <c r="B24" t="s">
        <v>195</v>
      </c>
      <c r="C24" t="s">
        <v>47</v>
      </c>
      <c r="D24" t="s">
        <v>196</v>
      </c>
      <c r="E24" t="s">
        <v>197</v>
      </c>
      <c r="F24" t="s">
        <v>47</v>
      </c>
      <c r="G24" t="s">
        <v>48</v>
      </c>
      <c r="I24" t="s">
        <v>198</v>
      </c>
      <c r="J24">
        <v>1</v>
      </c>
      <c r="K24" s="2" t="str">
        <f>HYPERLINK("https://www.amazon.com/dp/B0822HR335", "https://www.amazon.com/dp/B0822HR335")</f>
        <v>https://www.amazon.com/dp/B0822HR335</v>
      </c>
      <c r="L24" s="3">
        <v>1580</v>
      </c>
      <c r="M24" s="4">
        <v>12.65</v>
      </c>
      <c r="N24" s="5">
        <v>0.28110000000000002</v>
      </c>
      <c r="O24" s="5">
        <v>0.58840000000000003</v>
      </c>
      <c r="P24" t="s">
        <v>49</v>
      </c>
      <c r="Q24" t="s">
        <v>50</v>
      </c>
      <c r="R24" s="6">
        <v>11739</v>
      </c>
      <c r="S24" s="7">
        <v>21.5</v>
      </c>
      <c r="T24" s="7">
        <v>30.44</v>
      </c>
      <c r="U24" s="4">
        <v>45</v>
      </c>
      <c r="V24" s="7">
        <v>45</v>
      </c>
      <c r="W24">
        <v>45</v>
      </c>
      <c r="Y24" s="7">
        <v>6.75</v>
      </c>
      <c r="Z24">
        <v>0</v>
      </c>
      <c r="AA24" s="7">
        <v>4.0999999999999996</v>
      </c>
      <c r="AB24" s="7">
        <v>10.85</v>
      </c>
      <c r="AC24" s="7">
        <v>34.15</v>
      </c>
      <c r="AD24" s="8">
        <v>0</v>
      </c>
      <c r="AE24" s="7">
        <v>0</v>
      </c>
      <c r="AF24" s="7">
        <v>0</v>
      </c>
      <c r="AG24" t="s">
        <v>199</v>
      </c>
      <c r="AH24" s="7">
        <v>0.26</v>
      </c>
      <c r="AI24">
        <v>2</v>
      </c>
      <c r="AJ24">
        <v>2</v>
      </c>
      <c r="AK24">
        <v>0</v>
      </c>
      <c r="AL24">
        <v>2</v>
      </c>
      <c r="AM24" t="s">
        <v>200</v>
      </c>
      <c r="AN24" t="s">
        <v>201</v>
      </c>
      <c r="AO24" t="s">
        <v>202</v>
      </c>
      <c r="AP24" t="s">
        <v>202</v>
      </c>
      <c r="AQ24" t="s">
        <v>47</v>
      </c>
      <c r="AR24" s="2" t="str">
        <f>HYPERLINK("https://keepa.com/#!product/1-B0822HR335", "https://keepa.com/#!product/1-B0822HR335")</f>
        <v>https://keepa.com/#!product/1-B0822HR335</v>
      </c>
      <c r="AS24" s="2" t="str">
        <f>HYPERLINK("https://camelcamelcamel.com/search?sq=B0822HR335", "https://camelcamelcamel.com/search?sq=B0822HR335")</f>
        <v>https://camelcamelcamel.com/search?sq=B0822HR335</v>
      </c>
      <c r="AT24" t="s">
        <v>51</v>
      </c>
      <c r="AU24" s="9">
        <v>46261.994883226762</v>
      </c>
    </row>
    <row r="25" spans="1:47" x14ac:dyDescent="0.2">
      <c r="A25" t="s">
        <v>203</v>
      </c>
      <c r="B25" t="s">
        <v>51</v>
      </c>
      <c r="C25" t="s">
        <v>47</v>
      </c>
      <c r="D25" t="s">
        <v>204</v>
      </c>
      <c r="E25" t="s">
        <v>173</v>
      </c>
      <c r="F25" t="s">
        <v>47</v>
      </c>
      <c r="G25" t="s">
        <v>61</v>
      </c>
      <c r="H25" s="2" t="str">
        <f>HYPERLINK("https://sellercentral.amazon.com/hz/approvalrequest/restrictions/approve?asin=B0855YC9JX", "https://sellercentral.amazon.com/hz/approvalrequest/restrictions/approve?asin=B0855YC9JX")</f>
        <v>https://sellercentral.amazon.com/hz/approvalrequest/restrictions/approve?asin=B0855YC9JX</v>
      </c>
      <c r="I25" t="s">
        <v>205</v>
      </c>
      <c r="J25">
        <v>1</v>
      </c>
      <c r="K25" s="2" t="str">
        <f>HYPERLINK("https://www.amazon.com/dp/B0855YC9JX", "https://www.amazon.com/dp/B0855YC9JX")</f>
        <v>https://www.amazon.com/dp/B0855YC9JX</v>
      </c>
      <c r="L25" s="10">
        <v>5</v>
      </c>
      <c r="M25" s="14">
        <v>2.8</v>
      </c>
      <c r="N25" s="5">
        <v>0.16149999999999998</v>
      </c>
      <c r="O25" s="5">
        <v>0.32939999999999997</v>
      </c>
      <c r="P25" t="s">
        <v>49</v>
      </c>
      <c r="Q25" t="s">
        <v>50</v>
      </c>
      <c r="R25" s="6">
        <v>253171</v>
      </c>
      <c r="S25" s="7">
        <v>8.5</v>
      </c>
      <c r="T25" s="7">
        <v>14.37</v>
      </c>
      <c r="U25" s="4">
        <v>17.34</v>
      </c>
      <c r="V25" s="7">
        <v>17.34</v>
      </c>
      <c r="W25">
        <v>17.34</v>
      </c>
      <c r="Y25" s="7">
        <v>2.6</v>
      </c>
      <c r="Z25">
        <v>0</v>
      </c>
      <c r="AA25" s="7">
        <v>3.44</v>
      </c>
      <c r="AB25" s="7">
        <v>6.04</v>
      </c>
      <c r="AC25" s="7">
        <v>11.3</v>
      </c>
      <c r="AD25" s="8">
        <v>0</v>
      </c>
      <c r="AE25" s="7">
        <v>0</v>
      </c>
      <c r="AF25" s="7">
        <v>0</v>
      </c>
      <c r="AG25" t="s">
        <v>206</v>
      </c>
      <c r="AH25" s="7">
        <v>7.0000000000000007E-2</v>
      </c>
      <c r="AI25">
        <v>1</v>
      </c>
      <c r="AJ25">
        <v>1</v>
      </c>
      <c r="AK25">
        <v>0</v>
      </c>
      <c r="AL25">
        <v>1</v>
      </c>
      <c r="AM25" t="s">
        <v>173</v>
      </c>
      <c r="AN25" t="s">
        <v>207</v>
      </c>
      <c r="AO25" t="s">
        <v>208</v>
      </c>
      <c r="AP25" t="s">
        <v>208</v>
      </c>
      <c r="AQ25" t="s">
        <v>47</v>
      </c>
      <c r="AR25" s="2" t="str">
        <f>HYPERLINK("https://keepa.com/#!product/1-B0855YC9JX", "https://keepa.com/#!product/1-B0855YC9JX")</f>
        <v>https://keepa.com/#!product/1-B0855YC9JX</v>
      </c>
      <c r="AS25" s="2" t="str">
        <f>HYPERLINK("https://camelcamelcamel.com/search?sq=B0855YC9JX", "https://camelcamelcamel.com/search?sq=B0855YC9JX")</f>
        <v>https://camelcamelcamel.com/search?sq=B0855YC9JX</v>
      </c>
      <c r="AT25" t="s">
        <v>51</v>
      </c>
      <c r="AU25" s="9">
        <v>46261.99488322666</v>
      </c>
    </row>
    <row r="26" spans="1:47" x14ac:dyDescent="0.2">
      <c r="A26" t="s">
        <v>209</v>
      </c>
      <c r="B26" t="s">
        <v>51</v>
      </c>
      <c r="C26" t="s">
        <v>47</v>
      </c>
      <c r="D26" t="s">
        <v>210</v>
      </c>
      <c r="E26" t="s">
        <v>173</v>
      </c>
      <c r="F26" t="s">
        <v>47</v>
      </c>
      <c r="G26" t="s">
        <v>48</v>
      </c>
      <c r="I26" t="s">
        <v>211</v>
      </c>
      <c r="J26">
        <v>1</v>
      </c>
      <c r="K26" s="2" t="str">
        <f>HYPERLINK("https://www.amazon.com/dp/B0855YR5F3", "https://www.amazon.com/dp/B0855YR5F3")</f>
        <v>https://www.amazon.com/dp/B0855YR5F3</v>
      </c>
      <c r="L26" s="11">
        <v>22</v>
      </c>
      <c r="M26" s="12">
        <v>-0.68</v>
      </c>
      <c r="N26" s="13">
        <v>-5.1299999999999998E-2</v>
      </c>
      <c r="O26" s="13">
        <v>-0.08</v>
      </c>
      <c r="P26" t="s">
        <v>49</v>
      </c>
      <c r="Q26" t="s">
        <v>50</v>
      </c>
      <c r="R26" s="6">
        <v>228788</v>
      </c>
      <c r="S26" s="7">
        <v>8.5</v>
      </c>
      <c r="T26" s="7">
        <v>14.37</v>
      </c>
      <c r="U26" s="12">
        <v>13.25</v>
      </c>
      <c r="V26" s="7">
        <v>13.25</v>
      </c>
      <c r="W26">
        <v>13.25</v>
      </c>
      <c r="Y26" s="7">
        <v>1.99</v>
      </c>
      <c r="Z26">
        <v>0</v>
      </c>
      <c r="AA26" s="7">
        <v>3.44</v>
      </c>
      <c r="AB26" s="7">
        <v>5.43</v>
      </c>
      <c r="AC26" s="7">
        <v>7.82</v>
      </c>
      <c r="AD26" s="8">
        <v>0</v>
      </c>
      <c r="AE26" s="7">
        <v>0</v>
      </c>
      <c r="AF26" s="7">
        <v>0</v>
      </c>
      <c r="AG26" t="s">
        <v>212</v>
      </c>
      <c r="AH26" s="7">
        <v>7.0000000000000007E-2</v>
      </c>
      <c r="AI26">
        <v>2</v>
      </c>
      <c r="AJ26">
        <v>2</v>
      </c>
      <c r="AK26">
        <v>0</v>
      </c>
      <c r="AL26">
        <v>1</v>
      </c>
      <c r="AM26" t="s">
        <v>173</v>
      </c>
      <c r="AN26" t="s">
        <v>64</v>
      </c>
      <c r="AO26" t="s">
        <v>213</v>
      </c>
      <c r="AP26" t="s">
        <v>213</v>
      </c>
      <c r="AQ26" t="s">
        <v>47</v>
      </c>
      <c r="AR26" s="2" t="str">
        <f>HYPERLINK("https://keepa.com/#!product/1-B0855YR5F3", "https://keepa.com/#!product/1-B0855YR5F3")</f>
        <v>https://keepa.com/#!product/1-B0855YR5F3</v>
      </c>
      <c r="AS26" s="2" t="str">
        <f>HYPERLINK("https://camelcamelcamel.com/search?sq=B0855YR5F3", "https://camelcamelcamel.com/search?sq=B0855YR5F3")</f>
        <v>https://camelcamelcamel.com/search?sq=B0855YR5F3</v>
      </c>
      <c r="AT26" t="s">
        <v>51</v>
      </c>
      <c r="AU26" s="9">
        <v>46261.994883226631</v>
      </c>
    </row>
    <row r="27" spans="1:47" x14ac:dyDescent="0.2">
      <c r="A27" t="s">
        <v>214</v>
      </c>
      <c r="B27" t="s">
        <v>51</v>
      </c>
      <c r="C27" t="s">
        <v>49</v>
      </c>
      <c r="D27" t="s">
        <v>215</v>
      </c>
      <c r="E27" t="s">
        <v>216</v>
      </c>
      <c r="F27" t="s">
        <v>47</v>
      </c>
      <c r="G27" t="s">
        <v>61</v>
      </c>
      <c r="H27" s="2" t="str">
        <f>HYPERLINK("https://sellercentral.amazon.com/hz/approvalrequest/restrictions/approve?asin=B086286K7K", "https://sellercentral.amazon.com/hz/approvalrequest/restrictions/approve?asin=B086286K7K")</f>
        <v>https://sellercentral.amazon.com/hz/approvalrequest/restrictions/approve?asin=B086286K7K</v>
      </c>
      <c r="I27" t="s">
        <v>217</v>
      </c>
      <c r="J27">
        <v>1</v>
      </c>
      <c r="K27" s="2" t="str">
        <f>HYPERLINK("https://www.amazon.com/dp/B086286K7K", "https://www.amazon.com/dp/B086286K7K")</f>
        <v>https://www.amazon.com/dp/B086286K7K</v>
      </c>
      <c r="L27" s="3">
        <v>116</v>
      </c>
      <c r="M27" s="4">
        <v>10.37</v>
      </c>
      <c r="N27" s="5">
        <v>0.25929999999999997</v>
      </c>
      <c r="O27" s="5">
        <v>0.53180000000000005</v>
      </c>
      <c r="P27" t="s">
        <v>49</v>
      </c>
      <c r="Q27" t="s">
        <v>50</v>
      </c>
      <c r="R27" s="6">
        <v>86200</v>
      </c>
      <c r="S27" s="7">
        <v>19.5</v>
      </c>
      <c r="T27" s="7">
        <v>28.11</v>
      </c>
      <c r="U27" s="4">
        <v>39.99</v>
      </c>
      <c r="V27" s="7">
        <v>39.99</v>
      </c>
      <c r="W27">
        <v>39.99</v>
      </c>
      <c r="Y27" s="7">
        <v>6</v>
      </c>
      <c r="Z27">
        <v>0</v>
      </c>
      <c r="AA27" s="7">
        <v>4.12</v>
      </c>
      <c r="AB27" s="7">
        <v>10.119999999999999</v>
      </c>
      <c r="AC27" s="7">
        <v>29.87</v>
      </c>
      <c r="AD27" s="8">
        <v>0</v>
      </c>
      <c r="AE27" s="7">
        <v>0</v>
      </c>
      <c r="AF27" s="7">
        <v>0</v>
      </c>
      <c r="AG27" t="s">
        <v>218</v>
      </c>
      <c r="AH27" s="7">
        <v>0.4</v>
      </c>
      <c r="AI27">
        <v>1</v>
      </c>
      <c r="AJ27">
        <v>1</v>
      </c>
      <c r="AK27">
        <v>0</v>
      </c>
      <c r="AL27">
        <v>1</v>
      </c>
      <c r="AM27" t="s">
        <v>51</v>
      </c>
      <c r="AN27" t="s">
        <v>219</v>
      </c>
      <c r="AO27" t="s">
        <v>220</v>
      </c>
      <c r="AP27" t="s">
        <v>220</v>
      </c>
      <c r="AQ27" t="s">
        <v>47</v>
      </c>
      <c r="AR27" s="2" t="str">
        <f>HYPERLINK("https://keepa.com/#!product/1-B086286K7K", "https://keepa.com/#!product/1-B086286K7K")</f>
        <v>https://keepa.com/#!product/1-B086286K7K</v>
      </c>
      <c r="AS27" s="2" t="str">
        <f>HYPERLINK("https://camelcamelcamel.com/search?sq=B086286K7K", "https://camelcamelcamel.com/search?sq=B086286K7K")</f>
        <v>https://camelcamelcamel.com/search?sq=B086286K7K</v>
      </c>
      <c r="AT27" t="s">
        <v>51</v>
      </c>
      <c r="AU27" s="9">
        <v>46261.994883226776</v>
      </c>
    </row>
    <row r="28" spans="1:47" x14ac:dyDescent="0.2">
      <c r="A28" t="s">
        <v>221</v>
      </c>
      <c r="B28" t="s">
        <v>51</v>
      </c>
      <c r="C28" t="s">
        <v>49</v>
      </c>
      <c r="D28" t="s">
        <v>222</v>
      </c>
      <c r="E28" t="s">
        <v>216</v>
      </c>
      <c r="F28" t="s">
        <v>47</v>
      </c>
      <c r="G28" t="s">
        <v>48</v>
      </c>
      <c r="I28" t="s">
        <v>223</v>
      </c>
      <c r="J28">
        <v>1</v>
      </c>
      <c r="K28" s="2" t="str">
        <f>HYPERLINK("https://www.amazon.com/dp/B08628SJ46", "https://www.amazon.com/dp/B08628SJ46")</f>
        <v>https://www.amazon.com/dp/B08628SJ46</v>
      </c>
      <c r="L28" s="10">
        <v>5</v>
      </c>
      <c r="P28" t="s">
        <v>49</v>
      </c>
      <c r="Q28" t="s">
        <v>50</v>
      </c>
      <c r="R28" s="6">
        <v>307579</v>
      </c>
      <c r="S28" s="7">
        <v>19.5</v>
      </c>
      <c r="Z28">
        <v>0</v>
      </c>
      <c r="AF28" s="7">
        <v>0</v>
      </c>
      <c r="AG28" t="s">
        <v>224</v>
      </c>
      <c r="AH28" s="7">
        <v>0.49</v>
      </c>
      <c r="AI28">
        <v>0</v>
      </c>
      <c r="AJ28">
        <v>0</v>
      </c>
      <c r="AK28">
        <v>0</v>
      </c>
      <c r="AL28">
        <v>0</v>
      </c>
      <c r="AM28" t="s">
        <v>51</v>
      </c>
      <c r="AN28" t="s">
        <v>225</v>
      </c>
      <c r="AO28" t="s">
        <v>226</v>
      </c>
      <c r="AP28" t="s">
        <v>226</v>
      </c>
      <c r="AQ28" t="s">
        <v>47</v>
      </c>
      <c r="AR28" s="2" t="str">
        <f>HYPERLINK("https://keepa.com/#!product/1-B08628SJ46", "https://keepa.com/#!product/1-B08628SJ46")</f>
        <v>https://keepa.com/#!product/1-B08628SJ46</v>
      </c>
      <c r="AS28" s="2" t="str">
        <f>HYPERLINK("https://camelcamelcamel.com/search?sq=B08628SJ46", "https://camelcamelcamel.com/search?sq=B08628SJ46")</f>
        <v>https://camelcamelcamel.com/search?sq=B08628SJ46</v>
      </c>
      <c r="AT28" t="s">
        <v>51</v>
      </c>
      <c r="AU28" s="9">
        <v>46261.994883226776</v>
      </c>
    </row>
    <row r="29" spans="1:47" x14ac:dyDescent="0.2">
      <c r="A29" t="s">
        <v>227</v>
      </c>
      <c r="B29" t="s">
        <v>51</v>
      </c>
      <c r="C29" t="s">
        <v>49</v>
      </c>
      <c r="D29" t="s">
        <v>228</v>
      </c>
      <c r="E29" t="s">
        <v>216</v>
      </c>
      <c r="F29" t="s">
        <v>47</v>
      </c>
      <c r="G29" t="s">
        <v>48</v>
      </c>
      <c r="I29" t="s">
        <v>229</v>
      </c>
      <c r="J29">
        <v>1</v>
      </c>
      <c r="K29" s="2" t="str">
        <f>HYPERLINK("https://www.amazon.com/dp/B08628Y7DY", "https://www.amazon.com/dp/B08628Y7DY")</f>
        <v>https://www.amazon.com/dp/B08628Y7DY</v>
      </c>
      <c r="L29" s="11">
        <v>39</v>
      </c>
      <c r="M29" s="4">
        <v>8.68</v>
      </c>
      <c r="N29" s="5">
        <v>0.22839999999999999</v>
      </c>
      <c r="O29" s="5">
        <v>0.4451</v>
      </c>
      <c r="P29" t="s">
        <v>49</v>
      </c>
      <c r="Q29" t="s">
        <v>50</v>
      </c>
      <c r="R29" s="6">
        <v>166385</v>
      </c>
      <c r="S29" s="7">
        <v>19.5</v>
      </c>
      <c r="T29" s="7">
        <v>28.11</v>
      </c>
      <c r="U29" s="4">
        <v>38</v>
      </c>
      <c r="V29" s="7">
        <v>38</v>
      </c>
      <c r="W29">
        <v>39.36</v>
      </c>
      <c r="X29">
        <v>38</v>
      </c>
      <c r="Y29" s="7">
        <v>5.7</v>
      </c>
      <c r="Z29">
        <v>0</v>
      </c>
      <c r="AA29" s="7">
        <v>4.12</v>
      </c>
      <c r="AB29" s="7">
        <v>9.82</v>
      </c>
      <c r="AC29" s="7">
        <v>28.18</v>
      </c>
      <c r="AD29" s="8">
        <v>0</v>
      </c>
      <c r="AE29" s="7">
        <v>0</v>
      </c>
      <c r="AF29" s="7">
        <v>0</v>
      </c>
      <c r="AG29" t="s">
        <v>230</v>
      </c>
      <c r="AH29" s="7">
        <v>0.4</v>
      </c>
      <c r="AI29">
        <v>2</v>
      </c>
      <c r="AJ29">
        <v>1</v>
      </c>
      <c r="AK29">
        <v>1</v>
      </c>
      <c r="AL29">
        <v>1</v>
      </c>
      <c r="AM29" t="s">
        <v>51</v>
      </c>
      <c r="AN29" t="s">
        <v>231</v>
      </c>
      <c r="AO29" t="s">
        <v>51</v>
      </c>
      <c r="AP29" t="s">
        <v>232</v>
      </c>
      <c r="AQ29" t="s">
        <v>47</v>
      </c>
      <c r="AR29" s="2" t="str">
        <f>HYPERLINK("https://keepa.com/#!product/1-B08628Y7DY", "https://keepa.com/#!product/1-B08628Y7DY")</f>
        <v>https://keepa.com/#!product/1-B08628Y7DY</v>
      </c>
      <c r="AS29" s="2" t="str">
        <f>HYPERLINK("https://camelcamelcamel.com/search?sq=B08628Y7DY", "https://camelcamelcamel.com/search?sq=B08628Y7DY")</f>
        <v>https://camelcamelcamel.com/search?sq=B08628Y7DY</v>
      </c>
      <c r="AT29" t="s">
        <v>51</v>
      </c>
      <c r="AU29" s="9">
        <v>46261.994883226776</v>
      </c>
    </row>
    <row r="30" spans="1:47" x14ac:dyDescent="0.2">
      <c r="A30" t="s">
        <v>233</v>
      </c>
      <c r="B30" t="s">
        <v>234</v>
      </c>
      <c r="C30" t="s">
        <v>47</v>
      </c>
      <c r="D30" t="s">
        <v>235</v>
      </c>
      <c r="E30" t="s">
        <v>173</v>
      </c>
      <c r="F30" t="s">
        <v>47</v>
      </c>
      <c r="G30" t="s">
        <v>61</v>
      </c>
      <c r="H30" s="2" t="str">
        <f>HYPERLINK("https://sellercentral.amazon.com/hz/approvalrequest/restrictions/approve?asin=B087BHZQQV", "https://sellercentral.amazon.com/hz/approvalrequest/restrictions/approve?asin=B087BHZQQV")</f>
        <v>https://sellercentral.amazon.com/hz/approvalrequest/restrictions/approve?asin=B087BHZQQV</v>
      </c>
      <c r="I30" t="s">
        <v>236</v>
      </c>
      <c r="J30">
        <v>1</v>
      </c>
      <c r="K30" s="2" t="str">
        <f>HYPERLINK("https://www.amazon.com/dp/B087BHZQQV", "https://www.amazon.com/dp/B087BHZQQV")</f>
        <v>https://www.amazon.com/dp/B087BHZQQV</v>
      </c>
      <c r="L30" s="3">
        <v>88</v>
      </c>
      <c r="M30" s="12">
        <v>-3.27</v>
      </c>
      <c r="N30" s="13">
        <v>-0.36450000000000005</v>
      </c>
      <c r="O30" s="13">
        <v>-0.36329999999999996</v>
      </c>
      <c r="P30" t="s">
        <v>49</v>
      </c>
      <c r="Q30" t="s">
        <v>50</v>
      </c>
      <c r="R30" s="6">
        <v>101999</v>
      </c>
      <c r="S30" s="7">
        <v>9</v>
      </c>
      <c r="T30" s="7">
        <v>14.96</v>
      </c>
      <c r="U30" s="12">
        <v>8.9700000000000006</v>
      </c>
      <c r="V30" s="7">
        <v>8.9700000000000006</v>
      </c>
      <c r="W30">
        <v>8.9700000000000006</v>
      </c>
      <c r="Y30" s="7">
        <v>0.72</v>
      </c>
      <c r="Z30">
        <v>0</v>
      </c>
      <c r="AA30" s="7">
        <v>2.52</v>
      </c>
      <c r="AB30" s="7">
        <v>3.24</v>
      </c>
      <c r="AC30" s="7">
        <v>5.73</v>
      </c>
      <c r="AD30" s="8">
        <v>0</v>
      </c>
      <c r="AE30" s="7">
        <v>0</v>
      </c>
      <c r="AF30" s="7">
        <v>0</v>
      </c>
      <c r="AG30" t="s">
        <v>237</v>
      </c>
      <c r="AH30" s="7">
        <v>0.04</v>
      </c>
      <c r="AI30">
        <v>8</v>
      </c>
      <c r="AJ30">
        <v>8</v>
      </c>
      <c r="AK30">
        <v>0</v>
      </c>
      <c r="AL30">
        <v>2</v>
      </c>
      <c r="AM30" t="s">
        <v>173</v>
      </c>
      <c r="AN30" t="s">
        <v>238</v>
      </c>
      <c r="AO30" t="s">
        <v>239</v>
      </c>
      <c r="AP30" t="s">
        <v>239</v>
      </c>
      <c r="AQ30" t="s">
        <v>47</v>
      </c>
      <c r="AR30" s="2" t="str">
        <f>HYPERLINK("https://keepa.com/#!product/1-B087BHZQQV", "https://keepa.com/#!product/1-B087BHZQQV")</f>
        <v>https://keepa.com/#!product/1-B087BHZQQV</v>
      </c>
      <c r="AS30" s="2" t="str">
        <f>HYPERLINK("https://camelcamelcamel.com/search?sq=B087BHZQQV", "https://camelcamelcamel.com/search?sq=B087BHZQQV")</f>
        <v>https://camelcamelcamel.com/search?sq=B087BHZQQV</v>
      </c>
      <c r="AT30" t="s">
        <v>51</v>
      </c>
      <c r="AU30" s="9">
        <v>46261.994883226624</v>
      </c>
    </row>
    <row r="31" spans="1:47" x14ac:dyDescent="0.2">
      <c r="A31" t="s">
        <v>240</v>
      </c>
      <c r="B31" t="s">
        <v>241</v>
      </c>
      <c r="C31" t="s">
        <v>47</v>
      </c>
      <c r="D31" t="s">
        <v>242</v>
      </c>
      <c r="E31" t="s">
        <v>173</v>
      </c>
      <c r="F31" t="s">
        <v>47</v>
      </c>
      <c r="G31" t="s">
        <v>48</v>
      </c>
      <c r="I31" t="s">
        <v>243</v>
      </c>
      <c r="J31">
        <v>1</v>
      </c>
      <c r="K31" s="2" t="str">
        <f>HYPERLINK("https://www.amazon.com/dp/B088MFPHT4", "https://www.amazon.com/dp/B088MFPHT4")</f>
        <v>https://www.amazon.com/dp/B088MFPHT4</v>
      </c>
      <c r="L31" s="11">
        <v>35</v>
      </c>
      <c r="M31" s="4">
        <v>6.75</v>
      </c>
      <c r="N31" s="5">
        <v>0.307</v>
      </c>
      <c r="O31" s="5">
        <v>0.79409999999999992</v>
      </c>
      <c r="P31" t="s">
        <v>49</v>
      </c>
      <c r="Q31" t="s">
        <v>50</v>
      </c>
      <c r="R31" s="6">
        <v>173741</v>
      </c>
      <c r="S31" s="7">
        <v>8.5</v>
      </c>
      <c r="T31" s="7">
        <v>14.37</v>
      </c>
      <c r="U31" s="4">
        <v>21.99</v>
      </c>
      <c r="V31" s="7">
        <v>21.99</v>
      </c>
      <c r="W31">
        <v>21.99</v>
      </c>
      <c r="Y31" s="7">
        <v>3.3</v>
      </c>
      <c r="Z31">
        <v>0</v>
      </c>
      <c r="AA31" s="7">
        <v>3.44</v>
      </c>
      <c r="AB31" s="7">
        <v>6.74</v>
      </c>
      <c r="AC31" s="7">
        <v>15.25</v>
      </c>
      <c r="AD31" s="8">
        <v>0</v>
      </c>
      <c r="AE31" s="7">
        <v>0</v>
      </c>
      <c r="AF31" s="7">
        <v>0</v>
      </c>
      <c r="AG31" t="s">
        <v>244</v>
      </c>
      <c r="AH31" s="7">
        <v>7.0000000000000007E-2</v>
      </c>
      <c r="AI31">
        <v>1</v>
      </c>
      <c r="AJ31">
        <v>1</v>
      </c>
      <c r="AK31">
        <v>0</v>
      </c>
      <c r="AL31">
        <v>1</v>
      </c>
      <c r="AM31" t="s">
        <v>245</v>
      </c>
      <c r="AN31" t="s">
        <v>246</v>
      </c>
      <c r="AO31" t="s">
        <v>242</v>
      </c>
      <c r="AP31" t="s">
        <v>242</v>
      </c>
      <c r="AQ31" t="s">
        <v>47</v>
      </c>
      <c r="AR31" s="2" t="str">
        <f>HYPERLINK("https://keepa.com/#!product/1-B088MFPHT4", "https://keepa.com/#!product/1-B088MFPHT4")</f>
        <v>https://keepa.com/#!product/1-B088MFPHT4</v>
      </c>
      <c r="AS31" s="2" t="str">
        <f>HYPERLINK("https://camelcamelcamel.com/search?sq=B088MFPHT4", "https://camelcamelcamel.com/search?sq=B088MFPHT4")</f>
        <v>https://camelcamelcamel.com/search?sq=B088MFPHT4</v>
      </c>
      <c r="AT31" t="s">
        <v>51</v>
      </c>
      <c r="AU31" s="9">
        <v>46261.994883226645</v>
      </c>
    </row>
    <row r="32" spans="1:47" x14ac:dyDescent="0.2">
      <c r="A32" t="s">
        <v>247</v>
      </c>
      <c r="B32" t="s">
        <v>51</v>
      </c>
      <c r="C32" t="s">
        <v>47</v>
      </c>
      <c r="D32" t="s">
        <v>248</v>
      </c>
      <c r="E32" t="s">
        <v>173</v>
      </c>
      <c r="F32" t="s">
        <v>47</v>
      </c>
      <c r="G32" t="s">
        <v>61</v>
      </c>
      <c r="H32" s="2" t="str">
        <f>HYPERLINK("https://sellercentral.amazon.com/hz/approvalrequest/restrictions/approve?asin=B088PN8L6C", "https://sellercentral.amazon.com/hz/approvalrequest/restrictions/approve?asin=B088PN8L6C")</f>
        <v>https://sellercentral.amazon.com/hz/approvalrequest/restrictions/approve?asin=B088PN8L6C</v>
      </c>
      <c r="I32" t="s">
        <v>249</v>
      </c>
      <c r="J32">
        <v>1</v>
      </c>
      <c r="K32" s="2" t="str">
        <f>HYPERLINK("https://www.amazon.com/dp/B088PN8L6C", "https://www.amazon.com/dp/B088PN8L6C")</f>
        <v>https://www.amazon.com/dp/B088PN8L6C</v>
      </c>
      <c r="L32" s="10">
        <v>5</v>
      </c>
      <c r="M32" s="12">
        <v>-0.48</v>
      </c>
      <c r="N32" s="13">
        <v>-3.4099999999999998E-2</v>
      </c>
      <c r="O32" s="13">
        <v>-5.33E-2</v>
      </c>
      <c r="P32" t="s">
        <v>49</v>
      </c>
      <c r="Q32" t="s">
        <v>50</v>
      </c>
      <c r="R32" s="6">
        <v>248176</v>
      </c>
      <c r="S32" s="7">
        <v>9</v>
      </c>
      <c r="T32" s="7">
        <v>14.96</v>
      </c>
      <c r="U32" s="12">
        <v>14.07</v>
      </c>
      <c r="V32" s="7">
        <v>14.07</v>
      </c>
      <c r="W32">
        <v>14.07</v>
      </c>
      <c r="Y32" s="7">
        <v>2.11</v>
      </c>
      <c r="Z32">
        <v>0</v>
      </c>
      <c r="AA32" s="7">
        <v>3.44</v>
      </c>
      <c r="AB32" s="7">
        <v>5.55</v>
      </c>
      <c r="AC32" s="7">
        <v>8.52</v>
      </c>
      <c r="AD32" s="8">
        <v>0</v>
      </c>
      <c r="AE32" s="7">
        <v>0</v>
      </c>
      <c r="AF32" s="7">
        <v>0</v>
      </c>
      <c r="AG32" t="s">
        <v>250</v>
      </c>
      <c r="AH32" s="7">
        <v>0.02</v>
      </c>
      <c r="AI32">
        <v>3</v>
      </c>
      <c r="AJ32">
        <v>3</v>
      </c>
      <c r="AK32">
        <v>0</v>
      </c>
      <c r="AL32">
        <v>2</v>
      </c>
      <c r="AM32" t="s">
        <v>251</v>
      </c>
      <c r="AN32" t="s">
        <v>252</v>
      </c>
      <c r="AO32" t="s">
        <v>248</v>
      </c>
      <c r="AP32" t="s">
        <v>248</v>
      </c>
      <c r="AQ32" t="s">
        <v>47</v>
      </c>
      <c r="AR32" s="2" t="str">
        <f>HYPERLINK("https://keepa.com/#!product/1-B088PN8L6C", "https://keepa.com/#!product/1-B088PN8L6C")</f>
        <v>https://keepa.com/#!product/1-B088PN8L6C</v>
      </c>
      <c r="AS32" s="2" t="str">
        <f>HYPERLINK("https://camelcamelcamel.com/search?sq=B088PN8L6C", "https://camelcamelcamel.com/search?sq=B088PN8L6C")</f>
        <v>https://camelcamelcamel.com/search?sq=B088PN8L6C</v>
      </c>
      <c r="AT32" t="s">
        <v>51</v>
      </c>
      <c r="AU32" s="9">
        <v>46261.99488322658</v>
      </c>
    </row>
    <row r="33" spans="1:47" x14ac:dyDescent="0.2">
      <c r="A33" t="s">
        <v>253</v>
      </c>
      <c r="B33" t="s">
        <v>51</v>
      </c>
      <c r="C33" t="s">
        <v>47</v>
      </c>
      <c r="D33" t="s">
        <v>254</v>
      </c>
      <c r="E33" t="s">
        <v>255</v>
      </c>
      <c r="F33" t="s">
        <v>47</v>
      </c>
      <c r="G33" t="s">
        <v>48</v>
      </c>
      <c r="I33" t="s">
        <v>256</v>
      </c>
      <c r="J33">
        <v>1</v>
      </c>
      <c r="K33" s="2" t="str">
        <f>HYPERLINK("https://www.amazon.com/dp/B08LV255BT", "https://www.amazon.com/dp/B08LV255BT")</f>
        <v>https://www.amazon.com/dp/B08LV255BT</v>
      </c>
      <c r="L33" s="11">
        <v>33</v>
      </c>
      <c r="P33" t="s">
        <v>49</v>
      </c>
      <c r="Q33" t="s">
        <v>50</v>
      </c>
      <c r="R33" s="6">
        <v>182143</v>
      </c>
      <c r="S33" s="7">
        <v>20</v>
      </c>
      <c r="Z33">
        <v>0</v>
      </c>
      <c r="AF33" s="7">
        <v>0</v>
      </c>
      <c r="AG33" t="s">
        <v>257</v>
      </c>
      <c r="AH33" s="7">
        <v>0.46</v>
      </c>
      <c r="AI33">
        <v>0</v>
      </c>
      <c r="AJ33">
        <v>0</v>
      </c>
      <c r="AK33">
        <v>0</v>
      </c>
      <c r="AL33">
        <v>0</v>
      </c>
      <c r="AM33" t="s">
        <v>258</v>
      </c>
      <c r="AN33" t="s">
        <v>51</v>
      </c>
      <c r="AO33" t="s">
        <v>254</v>
      </c>
      <c r="AP33" t="s">
        <v>254</v>
      </c>
      <c r="AQ33" t="s">
        <v>47</v>
      </c>
      <c r="AR33" s="2" t="str">
        <f>HYPERLINK("https://keepa.com/#!product/1-B08LV255BT", "https://keepa.com/#!product/1-B08LV255BT")</f>
        <v>https://keepa.com/#!product/1-B08LV255BT</v>
      </c>
      <c r="AS33" s="2" t="str">
        <f>HYPERLINK("https://camelcamelcamel.com/search?sq=B08LV255BT", "https://camelcamelcamel.com/search?sq=B08LV255BT")</f>
        <v>https://camelcamelcamel.com/search?sq=B08LV255BT</v>
      </c>
      <c r="AT33" t="s">
        <v>51</v>
      </c>
      <c r="AU33" s="9">
        <v>46261.994883226762</v>
      </c>
    </row>
    <row r="34" spans="1:47" x14ac:dyDescent="0.2">
      <c r="A34" t="s">
        <v>259</v>
      </c>
      <c r="B34" t="s">
        <v>51</v>
      </c>
      <c r="C34" t="s">
        <v>47</v>
      </c>
      <c r="D34" t="s">
        <v>260</v>
      </c>
      <c r="E34" t="s">
        <v>197</v>
      </c>
      <c r="F34" t="s">
        <v>47</v>
      </c>
      <c r="G34" t="s">
        <v>61</v>
      </c>
      <c r="H34" s="2" t="str">
        <f>HYPERLINK("https://sellercentral.amazon.com/hz/approvalrequest/restrictions/approve?asin=B08M5J9N7N", "https://sellercentral.amazon.com/hz/approvalrequest/restrictions/approve?asin=B08M5J9N7N")</f>
        <v>https://sellercentral.amazon.com/hz/approvalrequest/restrictions/approve?asin=B08M5J9N7N</v>
      </c>
      <c r="I34" t="s">
        <v>261</v>
      </c>
      <c r="J34">
        <v>1</v>
      </c>
      <c r="K34" s="2" t="str">
        <f>HYPERLINK("https://www.amazon.com/dp/B08M5J9N7N", "https://www.amazon.com/dp/B08M5J9N7N")</f>
        <v>https://www.amazon.com/dp/B08M5J9N7N</v>
      </c>
      <c r="L34" s="10">
        <v>5</v>
      </c>
      <c r="M34" s="4">
        <v>9.3000000000000007</v>
      </c>
      <c r="N34" s="5">
        <v>0.2006</v>
      </c>
      <c r="O34" s="5">
        <v>0.35770000000000002</v>
      </c>
      <c r="P34" t="s">
        <v>49</v>
      </c>
      <c r="Q34" t="s">
        <v>75</v>
      </c>
      <c r="S34" s="7">
        <v>26</v>
      </c>
      <c r="T34" s="7">
        <v>35.729999999999997</v>
      </c>
      <c r="U34" s="4">
        <v>46.35</v>
      </c>
      <c r="V34" s="7">
        <v>46.35</v>
      </c>
      <c r="W34">
        <v>46.35</v>
      </c>
      <c r="Y34" s="7">
        <v>6.95</v>
      </c>
      <c r="Z34">
        <v>0</v>
      </c>
      <c r="AA34" s="7">
        <v>4.0999999999999996</v>
      </c>
      <c r="AB34" s="7">
        <v>11.05</v>
      </c>
      <c r="AC34" s="7">
        <v>35.299999999999997</v>
      </c>
      <c r="AD34" s="8">
        <v>0</v>
      </c>
      <c r="AE34" s="7">
        <v>0</v>
      </c>
      <c r="AF34" s="7">
        <v>0</v>
      </c>
      <c r="AG34" t="s">
        <v>262</v>
      </c>
      <c r="AH34" s="7">
        <v>0.31</v>
      </c>
      <c r="AI34">
        <v>2</v>
      </c>
      <c r="AJ34">
        <v>2</v>
      </c>
      <c r="AK34">
        <v>0</v>
      </c>
      <c r="AL34">
        <v>2</v>
      </c>
      <c r="AM34" t="s">
        <v>51</v>
      </c>
      <c r="AN34" t="s">
        <v>263</v>
      </c>
      <c r="AO34" t="s">
        <v>264</v>
      </c>
      <c r="AP34" t="s">
        <v>264</v>
      </c>
      <c r="AQ34" t="s">
        <v>47</v>
      </c>
      <c r="AR34" s="2" t="str">
        <f>HYPERLINK("https://keepa.com/#!product/1-B08M5J9N7N", "https://keepa.com/#!product/1-B08M5J9N7N")</f>
        <v>https://keepa.com/#!product/1-B08M5J9N7N</v>
      </c>
      <c r="AS34" s="2" t="str">
        <f>HYPERLINK("https://camelcamelcamel.com/search?sq=B08M5J9N7N", "https://camelcamelcamel.com/search?sq=B08M5J9N7N")</f>
        <v>https://camelcamelcamel.com/search?sq=B08M5J9N7N</v>
      </c>
      <c r="AT34" t="s">
        <v>51</v>
      </c>
      <c r="AU34" s="9">
        <v>46261.994883226711</v>
      </c>
    </row>
    <row r="35" spans="1:47" x14ac:dyDescent="0.2">
      <c r="A35" t="s">
        <v>265</v>
      </c>
      <c r="B35" t="s">
        <v>51</v>
      </c>
      <c r="C35" t="s">
        <v>47</v>
      </c>
      <c r="D35" t="s">
        <v>266</v>
      </c>
      <c r="E35" t="s">
        <v>197</v>
      </c>
      <c r="F35" t="s">
        <v>47</v>
      </c>
      <c r="G35" t="s">
        <v>61</v>
      </c>
      <c r="H35" s="2" t="str">
        <f>HYPERLINK("https://sellercentral.amazon.com/hz/approvalrequest/restrictions/approve?asin=B08M5N4GBT", "https://sellercentral.amazon.com/hz/approvalrequest/restrictions/approve?asin=B08M5N4GBT")</f>
        <v>https://sellercentral.amazon.com/hz/approvalrequest/restrictions/approve?asin=B08M5N4GBT</v>
      </c>
      <c r="I35" t="s">
        <v>267</v>
      </c>
      <c r="J35">
        <v>1</v>
      </c>
      <c r="K35" s="2" t="str">
        <f>HYPERLINK("https://www.amazon.com/dp/B08M5N4GBT", "https://www.amazon.com/dp/B08M5N4GBT")</f>
        <v>https://www.amazon.com/dp/B08M5N4GBT</v>
      </c>
      <c r="L35" s="11">
        <v>50</v>
      </c>
      <c r="M35" s="4">
        <v>10.89</v>
      </c>
      <c r="N35" s="5">
        <v>0.22570000000000001</v>
      </c>
      <c r="O35" s="5">
        <v>0.41880000000000001</v>
      </c>
      <c r="P35" t="s">
        <v>49</v>
      </c>
      <c r="Q35" t="s">
        <v>50</v>
      </c>
      <c r="R35" s="6">
        <v>143046</v>
      </c>
      <c r="S35" s="7">
        <v>26</v>
      </c>
      <c r="T35" s="7">
        <v>35.75</v>
      </c>
      <c r="U35" s="4">
        <v>48.24</v>
      </c>
      <c r="V35" s="7">
        <v>48.24</v>
      </c>
      <c r="W35">
        <v>47.97</v>
      </c>
      <c r="Y35" s="7">
        <v>7.24</v>
      </c>
      <c r="Z35">
        <v>0</v>
      </c>
      <c r="AA35" s="7">
        <v>4.1100000000000003</v>
      </c>
      <c r="AB35" s="7">
        <v>11.35</v>
      </c>
      <c r="AC35" s="7">
        <v>36.89</v>
      </c>
      <c r="AD35" s="8">
        <v>0</v>
      </c>
      <c r="AE35" s="7">
        <v>0</v>
      </c>
      <c r="AF35" s="7">
        <v>0</v>
      </c>
      <c r="AG35" t="s">
        <v>268</v>
      </c>
      <c r="AH35" s="7">
        <v>0.33</v>
      </c>
      <c r="AI35">
        <v>3</v>
      </c>
      <c r="AJ35">
        <v>3</v>
      </c>
      <c r="AK35">
        <v>0</v>
      </c>
      <c r="AL35">
        <v>3</v>
      </c>
      <c r="AM35" t="s">
        <v>51</v>
      </c>
      <c r="AN35" t="s">
        <v>269</v>
      </c>
      <c r="AO35" t="s">
        <v>270</v>
      </c>
      <c r="AP35" t="s">
        <v>271</v>
      </c>
      <c r="AQ35" t="s">
        <v>47</v>
      </c>
      <c r="AR35" s="2" t="str">
        <f>HYPERLINK("https://keepa.com/#!product/1-B08M5N4GBT", "https://keepa.com/#!product/1-B08M5N4GBT")</f>
        <v>https://keepa.com/#!product/1-B08M5N4GBT</v>
      </c>
      <c r="AS35" s="2" t="str">
        <f>HYPERLINK("https://camelcamelcamel.com/search?sq=B08M5N4GBT", "https://camelcamelcamel.com/search?sq=B08M5N4GBT")</f>
        <v>https://camelcamelcamel.com/search?sq=B08M5N4GBT</v>
      </c>
      <c r="AT35" t="s">
        <v>51</v>
      </c>
      <c r="AU35" s="9">
        <v>46261.994883226726</v>
      </c>
    </row>
    <row r="36" spans="1:47" x14ac:dyDescent="0.2">
      <c r="A36" t="s">
        <v>272</v>
      </c>
      <c r="B36" t="s">
        <v>273</v>
      </c>
      <c r="C36" t="s">
        <v>47</v>
      </c>
      <c r="D36" t="s">
        <v>274</v>
      </c>
      <c r="E36" t="s">
        <v>173</v>
      </c>
      <c r="F36" t="s">
        <v>47</v>
      </c>
      <c r="G36" t="s">
        <v>48</v>
      </c>
      <c r="I36" t="s">
        <v>275</v>
      </c>
      <c r="J36">
        <v>1</v>
      </c>
      <c r="K36" s="2" t="str">
        <f>HYPERLINK("https://www.amazon.com/dp/B08MT5KZ9W", "https://www.amazon.com/dp/B08MT5KZ9W")</f>
        <v>https://www.amazon.com/dp/B08MT5KZ9W</v>
      </c>
      <c r="L36" s="3">
        <v>2603</v>
      </c>
      <c r="M36" s="14">
        <v>2.4300000000000002</v>
      </c>
      <c r="N36" s="5">
        <v>0.13970000000000002</v>
      </c>
      <c r="O36" s="5">
        <v>0.28589999999999999</v>
      </c>
      <c r="P36" t="s">
        <v>49</v>
      </c>
      <c r="Q36" t="s">
        <v>50</v>
      </c>
      <c r="R36" s="6">
        <v>7225</v>
      </c>
      <c r="S36" s="7">
        <v>8.5</v>
      </c>
      <c r="T36" s="7">
        <v>14.86</v>
      </c>
      <c r="U36" s="4">
        <v>17.399999999999999</v>
      </c>
      <c r="W36">
        <v>17.399999999999999</v>
      </c>
      <c r="Y36" s="7">
        <v>2.61</v>
      </c>
      <c r="Z36">
        <v>0</v>
      </c>
      <c r="AA36" s="7">
        <v>3.86</v>
      </c>
      <c r="AB36" s="7">
        <v>6.47</v>
      </c>
      <c r="AC36" s="7">
        <v>10.93</v>
      </c>
      <c r="AD36" s="8">
        <v>0</v>
      </c>
      <c r="AE36" s="7">
        <v>0</v>
      </c>
      <c r="AF36" s="7">
        <v>0</v>
      </c>
      <c r="AG36" t="s">
        <v>276</v>
      </c>
      <c r="AH36" s="7">
        <v>0.11</v>
      </c>
      <c r="AI36">
        <v>3</v>
      </c>
      <c r="AJ36">
        <v>3</v>
      </c>
      <c r="AK36">
        <v>0</v>
      </c>
      <c r="AL36">
        <v>0</v>
      </c>
      <c r="AM36" t="s">
        <v>277</v>
      </c>
      <c r="AN36" t="s">
        <v>278</v>
      </c>
      <c r="AO36" t="s">
        <v>274</v>
      </c>
      <c r="AP36" t="s">
        <v>277</v>
      </c>
      <c r="AQ36" t="s">
        <v>47</v>
      </c>
      <c r="AR36" s="2" t="str">
        <f>HYPERLINK("https://keepa.com/#!product/1-B08MT5KZ9W", "https://keepa.com/#!product/1-B08MT5KZ9W")</f>
        <v>https://keepa.com/#!product/1-B08MT5KZ9W</v>
      </c>
      <c r="AS36" s="2" t="str">
        <f>HYPERLINK("https://camelcamelcamel.com/search?sq=B08MT5KZ9W", "https://camelcamelcamel.com/search?sq=B08MT5KZ9W")</f>
        <v>https://camelcamelcamel.com/search?sq=B08MT5KZ9W</v>
      </c>
      <c r="AT36" t="s">
        <v>51</v>
      </c>
      <c r="AU36" s="9">
        <v>46261.994883226624</v>
      </c>
    </row>
    <row r="37" spans="1:47" x14ac:dyDescent="0.2">
      <c r="A37" t="s">
        <v>279</v>
      </c>
      <c r="B37" t="s">
        <v>234</v>
      </c>
      <c r="C37" t="s">
        <v>47</v>
      </c>
      <c r="D37" t="s">
        <v>280</v>
      </c>
      <c r="E37" t="s">
        <v>173</v>
      </c>
      <c r="F37" t="s">
        <v>47</v>
      </c>
      <c r="G37" t="s">
        <v>48</v>
      </c>
      <c r="I37" t="s">
        <v>281</v>
      </c>
      <c r="J37">
        <v>1</v>
      </c>
      <c r="K37" s="2" t="str">
        <f>HYPERLINK("https://www.amazon.com/dp/B08MTBHSMB", "https://www.amazon.com/dp/B08MTBHSMB")</f>
        <v>https://www.amazon.com/dp/B08MTBHSMB</v>
      </c>
      <c r="L37" s="3">
        <v>88</v>
      </c>
      <c r="P37" t="s">
        <v>49</v>
      </c>
      <c r="Q37" t="s">
        <v>50</v>
      </c>
      <c r="R37" s="6">
        <v>101999</v>
      </c>
      <c r="S37" s="7">
        <v>8.5</v>
      </c>
      <c r="Z37">
        <v>0</v>
      </c>
      <c r="AF37" s="7">
        <v>0</v>
      </c>
      <c r="AG37" t="s">
        <v>282</v>
      </c>
      <c r="AH37" s="7">
        <v>0.04</v>
      </c>
      <c r="AI37">
        <v>0</v>
      </c>
      <c r="AJ37">
        <v>0</v>
      </c>
      <c r="AK37">
        <v>0</v>
      </c>
      <c r="AL37">
        <v>0</v>
      </c>
      <c r="AM37" t="s">
        <v>277</v>
      </c>
      <c r="AN37" t="s">
        <v>283</v>
      </c>
      <c r="AO37" t="s">
        <v>280</v>
      </c>
      <c r="AP37" t="s">
        <v>277</v>
      </c>
      <c r="AQ37" t="s">
        <v>47</v>
      </c>
      <c r="AR37" s="2" t="str">
        <f>HYPERLINK("https://keepa.com/#!product/1-B08MTBHSMB", "https://keepa.com/#!product/1-B08MTBHSMB")</f>
        <v>https://keepa.com/#!product/1-B08MTBHSMB</v>
      </c>
      <c r="AS37" s="2" t="str">
        <f>HYPERLINK("https://camelcamelcamel.com/search?sq=B08MTBHSMB", "https://camelcamelcamel.com/search?sq=B08MTBHSMB")</f>
        <v>https://camelcamelcamel.com/search?sq=B08MTBHSMB</v>
      </c>
      <c r="AT37" t="s">
        <v>51</v>
      </c>
      <c r="AU37" s="9">
        <v>46261.994883226624</v>
      </c>
    </row>
    <row r="38" spans="1:47" x14ac:dyDescent="0.2">
      <c r="A38" t="s">
        <v>284</v>
      </c>
      <c r="B38" t="s">
        <v>273</v>
      </c>
      <c r="C38" t="s">
        <v>47</v>
      </c>
      <c r="D38" t="s">
        <v>277</v>
      </c>
      <c r="E38" t="s">
        <v>173</v>
      </c>
      <c r="F38" t="s">
        <v>47</v>
      </c>
      <c r="G38" t="s">
        <v>61</v>
      </c>
      <c r="H38" s="2" t="str">
        <f>HYPERLINK("https://sellercentral.amazon.com/hz/approvalrequest/restrictions/approve?asin=B08MTQMHGT", "https://sellercentral.amazon.com/hz/approvalrequest/restrictions/approve?asin=B08MTQMHGT")</f>
        <v>https://sellercentral.amazon.com/hz/approvalrequest/restrictions/approve?asin=B08MTQMHGT</v>
      </c>
      <c r="I38" t="s">
        <v>285</v>
      </c>
      <c r="J38">
        <v>1</v>
      </c>
      <c r="K38" s="2" t="str">
        <f>HYPERLINK("https://www.amazon.com/dp/B08MTQMHGT", "https://www.amazon.com/dp/B08MTQMHGT")</f>
        <v>https://www.amazon.com/dp/B08MTQMHGT</v>
      </c>
      <c r="L38" s="3">
        <v>2603</v>
      </c>
      <c r="M38" s="12">
        <v>-0.63</v>
      </c>
      <c r="N38" s="13">
        <v>-4.3499999999999997E-2</v>
      </c>
      <c r="O38" s="13">
        <v>-6.6299999999999998E-2</v>
      </c>
      <c r="P38" t="s">
        <v>49</v>
      </c>
      <c r="Q38" t="s">
        <v>50</v>
      </c>
      <c r="R38" s="6">
        <v>7225</v>
      </c>
      <c r="S38" s="7">
        <v>9.5</v>
      </c>
      <c r="T38" s="7">
        <v>15.55</v>
      </c>
      <c r="U38" s="12">
        <v>14.48</v>
      </c>
      <c r="V38" s="7">
        <v>14.48</v>
      </c>
      <c r="W38">
        <v>14.48</v>
      </c>
      <c r="Y38" s="7">
        <v>2.17</v>
      </c>
      <c r="Z38">
        <v>0</v>
      </c>
      <c r="AA38" s="7">
        <v>3.44</v>
      </c>
      <c r="AB38" s="7">
        <v>5.61</v>
      </c>
      <c r="AC38" s="7">
        <v>8.8699999999999992</v>
      </c>
      <c r="AD38" s="8">
        <v>0</v>
      </c>
      <c r="AE38" s="7">
        <v>0</v>
      </c>
      <c r="AF38" s="7">
        <v>0</v>
      </c>
      <c r="AG38" t="s">
        <v>286</v>
      </c>
      <c r="AH38" s="7">
        <v>7.0000000000000007E-2</v>
      </c>
      <c r="AI38">
        <v>6</v>
      </c>
      <c r="AJ38">
        <v>6</v>
      </c>
      <c r="AK38">
        <v>0</v>
      </c>
      <c r="AL38">
        <v>1</v>
      </c>
      <c r="AM38" t="s">
        <v>173</v>
      </c>
      <c r="AN38" t="s">
        <v>287</v>
      </c>
      <c r="AO38" t="s">
        <v>277</v>
      </c>
      <c r="AP38" t="s">
        <v>277</v>
      </c>
      <c r="AQ38" t="s">
        <v>47</v>
      </c>
      <c r="AR38" s="2" t="str">
        <f>HYPERLINK("https://keepa.com/#!product/1-B08MTQMHGT", "https://keepa.com/#!product/1-B08MTQMHGT")</f>
        <v>https://keepa.com/#!product/1-B08MTQMHGT</v>
      </c>
      <c r="AS38" s="2" t="str">
        <f>HYPERLINK("https://camelcamelcamel.com/search?sq=B08MTQMHGT", "https://camelcamelcamel.com/search?sq=B08MTQMHGT")</f>
        <v>https://camelcamelcamel.com/search?sq=B08MTQMHGT</v>
      </c>
      <c r="AT38" t="s">
        <v>51</v>
      </c>
      <c r="AU38" s="9">
        <v>46261.994883226747</v>
      </c>
    </row>
    <row r="39" spans="1:47" x14ac:dyDescent="0.2">
      <c r="A39" t="s">
        <v>288</v>
      </c>
      <c r="B39" t="s">
        <v>51</v>
      </c>
      <c r="C39" t="s">
        <v>47</v>
      </c>
      <c r="D39" t="s">
        <v>289</v>
      </c>
      <c r="E39" t="s">
        <v>173</v>
      </c>
      <c r="F39" t="s">
        <v>47</v>
      </c>
      <c r="G39" t="s">
        <v>61</v>
      </c>
      <c r="H39" s="2" t="str">
        <f>HYPERLINK("https://sellercentral.amazon.com/hz/approvalrequest/restrictions/approve?asin=B08MV5TGSZ", "https://sellercentral.amazon.com/hz/approvalrequest/restrictions/approve?asin=B08MV5TGSZ")</f>
        <v>https://sellercentral.amazon.com/hz/approvalrequest/restrictions/approve?asin=B08MV5TGSZ</v>
      </c>
      <c r="I39" t="s">
        <v>290</v>
      </c>
      <c r="J39">
        <v>1</v>
      </c>
      <c r="K39" s="2" t="str">
        <f>HYPERLINK("https://www.amazon.com/dp/B08MV5TGSZ", "https://www.amazon.com/dp/B08MV5TGSZ")</f>
        <v>https://www.amazon.com/dp/B08MV5TGSZ</v>
      </c>
      <c r="L39" s="10">
        <v>5</v>
      </c>
      <c r="P39" t="s">
        <v>49</v>
      </c>
      <c r="Q39" t="s">
        <v>75</v>
      </c>
      <c r="S39" s="7">
        <v>9</v>
      </c>
      <c r="Z39">
        <v>0</v>
      </c>
      <c r="AF39" s="7">
        <v>0</v>
      </c>
      <c r="AG39" t="s">
        <v>291</v>
      </c>
      <c r="AH39" s="7">
        <v>7.0000000000000007E-2</v>
      </c>
      <c r="AI39">
        <v>0</v>
      </c>
      <c r="AJ39">
        <v>0</v>
      </c>
      <c r="AK39">
        <v>0</v>
      </c>
      <c r="AL39">
        <v>0</v>
      </c>
      <c r="AM39" t="s">
        <v>51</v>
      </c>
      <c r="AN39" t="s">
        <v>292</v>
      </c>
      <c r="AO39" t="s">
        <v>289</v>
      </c>
      <c r="AP39" t="s">
        <v>289</v>
      </c>
      <c r="AQ39" t="s">
        <v>47</v>
      </c>
      <c r="AR39" s="2" t="str">
        <f>HYPERLINK("https://keepa.com/#!product/1-B08MV5TGSZ", "https://keepa.com/#!product/1-B08MV5TGSZ")</f>
        <v>https://keepa.com/#!product/1-B08MV5TGSZ</v>
      </c>
      <c r="AS39" s="2" t="str">
        <f>HYPERLINK("https://camelcamelcamel.com/search?sq=B08MV5TGSZ", "https://camelcamelcamel.com/search?sq=B08MV5TGSZ")</f>
        <v>https://camelcamelcamel.com/search?sq=B08MV5TGSZ</v>
      </c>
      <c r="AT39" t="s">
        <v>51</v>
      </c>
      <c r="AU39" s="9">
        <v>46261.994883226595</v>
      </c>
    </row>
    <row r="40" spans="1:47" x14ac:dyDescent="0.2">
      <c r="A40" t="s">
        <v>293</v>
      </c>
      <c r="B40" t="s">
        <v>51</v>
      </c>
      <c r="C40" t="s">
        <v>47</v>
      </c>
      <c r="D40" t="s">
        <v>294</v>
      </c>
      <c r="E40" t="s">
        <v>56</v>
      </c>
      <c r="F40" t="s">
        <v>47</v>
      </c>
      <c r="G40" t="s">
        <v>48</v>
      </c>
      <c r="I40" t="s">
        <v>295</v>
      </c>
      <c r="J40">
        <v>1</v>
      </c>
      <c r="K40" s="2" t="str">
        <f>HYPERLINK("https://www.amazon.com/dp/B08QLK5JHV", "https://www.amazon.com/dp/B08QLK5JHV")</f>
        <v>https://www.amazon.com/dp/B08QLK5JHV</v>
      </c>
      <c r="L40" s="11">
        <v>32</v>
      </c>
      <c r="M40" s="14">
        <v>3.99</v>
      </c>
      <c r="N40" s="5">
        <v>0.105</v>
      </c>
      <c r="O40" s="5">
        <v>0.16980000000000001</v>
      </c>
      <c r="P40" t="s">
        <v>49</v>
      </c>
      <c r="Q40" t="s">
        <v>50</v>
      </c>
      <c r="R40" s="6">
        <v>184629</v>
      </c>
      <c r="S40" s="7">
        <v>23.5</v>
      </c>
      <c r="T40" s="7">
        <v>33.630000000000003</v>
      </c>
      <c r="U40" s="4">
        <v>38</v>
      </c>
      <c r="V40" s="7">
        <v>38</v>
      </c>
      <c r="X40">
        <v>38</v>
      </c>
      <c r="Y40" s="7">
        <v>5.7</v>
      </c>
      <c r="Z40">
        <v>0</v>
      </c>
      <c r="AA40" s="7">
        <v>4.8099999999999996</v>
      </c>
      <c r="AB40" s="7">
        <v>10.51</v>
      </c>
      <c r="AC40" s="7">
        <v>27.49</v>
      </c>
      <c r="AD40" s="8">
        <v>0</v>
      </c>
      <c r="AE40" s="7">
        <v>0</v>
      </c>
      <c r="AF40" s="7">
        <v>0</v>
      </c>
      <c r="AG40" t="s">
        <v>296</v>
      </c>
      <c r="AH40" s="7">
        <v>1</v>
      </c>
      <c r="AI40">
        <v>4</v>
      </c>
      <c r="AJ40">
        <v>0</v>
      </c>
      <c r="AK40">
        <v>4</v>
      </c>
      <c r="AL40">
        <v>1</v>
      </c>
      <c r="AM40" t="s">
        <v>56</v>
      </c>
      <c r="AN40" t="s">
        <v>297</v>
      </c>
      <c r="AO40" t="s">
        <v>298</v>
      </c>
      <c r="AP40" t="s">
        <v>298</v>
      </c>
      <c r="AQ40" t="s">
        <v>49</v>
      </c>
      <c r="AR40" s="2" t="str">
        <f>HYPERLINK("https://keepa.com/#!product/1-B08QLK5JHV", "https://keepa.com/#!product/1-B08QLK5JHV")</f>
        <v>https://keepa.com/#!product/1-B08QLK5JHV</v>
      </c>
      <c r="AS40" s="2" t="str">
        <f>HYPERLINK("https://camelcamelcamel.com/search?sq=B08QLK5JHV", "https://camelcamelcamel.com/search?sq=B08QLK5JHV")</f>
        <v>https://camelcamelcamel.com/search?sq=B08QLK5JHV</v>
      </c>
      <c r="AT40" t="s">
        <v>51</v>
      </c>
      <c r="AU40" s="9">
        <v>46261.994883226806</v>
      </c>
    </row>
    <row r="41" spans="1:47" x14ac:dyDescent="0.2">
      <c r="A41" t="s">
        <v>299</v>
      </c>
      <c r="B41" t="s">
        <v>300</v>
      </c>
      <c r="C41" t="s">
        <v>47</v>
      </c>
      <c r="D41" t="s">
        <v>301</v>
      </c>
      <c r="E41" t="s">
        <v>173</v>
      </c>
      <c r="F41" t="s">
        <v>47</v>
      </c>
      <c r="G41" t="s">
        <v>48</v>
      </c>
      <c r="I41" t="s">
        <v>302</v>
      </c>
      <c r="J41">
        <v>1</v>
      </c>
      <c r="K41" s="2" t="str">
        <f>HYPERLINK("https://www.amazon.com/dp/B08X46T8CX", "https://www.amazon.com/dp/B08X46T8CX")</f>
        <v>https://www.amazon.com/dp/B08X46T8CX</v>
      </c>
      <c r="L41" s="3">
        <v>750</v>
      </c>
      <c r="P41" t="s">
        <v>49</v>
      </c>
      <c r="Q41" t="s">
        <v>50</v>
      </c>
      <c r="R41" s="6">
        <v>22471</v>
      </c>
      <c r="S41" s="7">
        <v>9.5</v>
      </c>
      <c r="Z41">
        <v>0</v>
      </c>
      <c r="AF41" s="7">
        <v>0</v>
      </c>
      <c r="AG41" t="s">
        <v>303</v>
      </c>
      <c r="AH41" s="7">
        <v>0.04</v>
      </c>
      <c r="AI41">
        <v>0</v>
      </c>
      <c r="AJ41">
        <v>0</v>
      </c>
      <c r="AK41">
        <v>0</v>
      </c>
      <c r="AL41">
        <v>0</v>
      </c>
      <c r="AM41" t="s">
        <v>304</v>
      </c>
      <c r="AN41" t="s">
        <v>305</v>
      </c>
      <c r="AO41" t="s">
        <v>306</v>
      </c>
      <c r="AP41" t="s">
        <v>306</v>
      </c>
      <c r="AQ41" t="s">
        <v>47</v>
      </c>
      <c r="AR41" s="2" t="str">
        <f>HYPERLINK("https://keepa.com/#!product/1-B08X46T8CX", "https://keepa.com/#!product/1-B08X46T8CX")</f>
        <v>https://keepa.com/#!product/1-B08X46T8CX</v>
      </c>
      <c r="AS41" s="2" t="str">
        <f>HYPERLINK("https://camelcamelcamel.com/search?sq=B08X46T8CX", "https://camelcamelcamel.com/search?sq=B08X46T8CX")</f>
        <v>https://camelcamelcamel.com/search?sq=B08X46T8CX</v>
      </c>
      <c r="AT41" t="s">
        <v>51</v>
      </c>
      <c r="AU41" s="9">
        <v>46261.994883226609</v>
      </c>
    </row>
    <row r="42" spans="1:47" x14ac:dyDescent="0.2">
      <c r="A42" t="s">
        <v>307</v>
      </c>
      <c r="B42" t="s">
        <v>300</v>
      </c>
      <c r="C42" t="s">
        <v>47</v>
      </c>
      <c r="D42" t="s">
        <v>308</v>
      </c>
      <c r="E42" t="s">
        <v>173</v>
      </c>
      <c r="F42" t="s">
        <v>47</v>
      </c>
      <c r="G42" t="s">
        <v>61</v>
      </c>
      <c r="H42" s="2" t="str">
        <f>HYPERLINK("https://sellercentral.amazon.com/hz/approvalrequest/restrictions/approve?asin=B08X476NL5", "https://sellercentral.amazon.com/hz/approvalrequest/restrictions/approve?asin=B08X476NL5")</f>
        <v>https://sellercentral.amazon.com/hz/approvalrequest/restrictions/approve?asin=B08X476NL5</v>
      </c>
      <c r="I42" t="s">
        <v>309</v>
      </c>
      <c r="J42">
        <v>1</v>
      </c>
      <c r="K42" s="2" t="str">
        <f>HYPERLINK("https://www.amazon.com/dp/B08X476NL5", "https://www.amazon.com/dp/B08X476NL5")</f>
        <v>https://www.amazon.com/dp/B08X476NL5</v>
      </c>
      <c r="L42" s="3">
        <v>750</v>
      </c>
      <c r="M42" s="12">
        <v>-1.61</v>
      </c>
      <c r="N42" s="13">
        <v>-0.10730000000000001</v>
      </c>
      <c r="O42" s="13">
        <v>-0.15329999999999999</v>
      </c>
      <c r="P42" t="s">
        <v>49</v>
      </c>
      <c r="Q42" t="s">
        <v>50</v>
      </c>
      <c r="R42" s="6">
        <v>22471</v>
      </c>
      <c r="S42" s="7">
        <v>10.5</v>
      </c>
      <c r="T42" s="7">
        <v>17.22</v>
      </c>
      <c r="U42" s="12">
        <v>15</v>
      </c>
      <c r="V42" s="7">
        <v>15</v>
      </c>
      <c r="W42">
        <v>15</v>
      </c>
      <c r="Y42" s="7">
        <v>2.25</v>
      </c>
      <c r="Z42">
        <v>0</v>
      </c>
      <c r="AA42" s="7">
        <v>3.86</v>
      </c>
      <c r="AB42" s="7">
        <v>6.11</v>
      </c>
      <c r="AC42" s="7">
        <v>8.89</v>
      </c>
      <c r="AD42" s="8">
        <v>0</v>
      </c>
      <c r="AE42" s="7">
        <v>0</v>
      </c>
      <c r="AF42" s="7">
        <v>0</v>
      </c>
      <c r="AG42" t="s">
        <v>310</v>
      </c>
      <c r="AH42" s="7">
        <v>0.04</v>
      </c>
      <c r="AI42">
        <v>1</v>
      </c>
      <c r="AJ42">
        <v>1</v>
      </c>
      <c r="AK42">
        <v>0</v>
      </c>
      <c r="AL42">
        <v>1</v>
      </c>
      <c r="AM42" t="s">
        <v>304</v>
      </c>
      <c r="AN42" t="s">
        <v>311</v>
      </c>
      <c r="AO42" t="s">
        <v>308</v>
      </c>
      <c r="AP42" t="s">
        <v>308</v>
      </c>
      <c r="AQ42" t="s">
        <v>47</v>
      </c>
      <c r="AR42" s="2" t="str">
        <f>HYPERLINK("https://keepa.com/#!product/1-B08X476NL5", "https://keepa.com/#!product/1-B08X476NL5")</f>
        <v>https://keepa.com/#!product/1-B08X476NL5</v>
      </c>
      <c r="AS42" s="2" t="str">
        <f>HYPERLINK("https://camelcamelcamel.com/search?sq=B08X476NL5", "https://camelcamelcamel.com/search?sq=B08X476NL5")</f>
        <v>https://camelcamelcamel.com/search?sq=B08X476NL5</v>
      </c>
      <c r="AT42" t="s">
        <v>51</v>
      </c>
      <c r="AU42" s="9">
        <v>46261.994883226769</v>
      </c>
    </row>
    <row r="43" spans="1:47" x14ac:dyDescent="0.2">
      <c r="A43" t="s">
        <v>312</v>
      </c>
      <c r="B43" t="s">
        <v>171</v>
      </c>
      <c r="C43" t="s">
        <v>47</v>
      </c>
      <c r="D43" t="s">
        <v>313</v>
      </c>
      <c r="E43" t="s">
        <v>173</v>
      </c>
      <c r="F43" t="s">
        <v>47</v>
      </c>
      <c r="G43" t="s">
        <v>61</v>
      </c>
      <c r="H43" s="2" t="str">
        <f>HYPERLINK("https://sellercentral.amazon.com/hz/approvalrequest/restrictions/approve?asin=B08ZJPFXZG", "https://sellercentral.amazon.com/hz/approvalrequest/restrictions/approve?asin=B08ZJPFXZG")</f>
        <v>https://sellercentral.amazon.com/hz/approvalrequest/restrictions/approve?asin=B08ZJPFXZG</v>
      </c>
      <c r="I43" t="s">
        <v>314</v>
      </c>
      <c r="J43">
        <v>1</v>
      </c>
      <c r="K43" s="2" t="str">
        <f>HYPERLINK("https://www.amazon.com/dp/B08ZJPFXZG", "https://www.amazon.com/dp/B08ZJPFXZG")</f>
        <v>https://www.amazon.com/dp/B08ZJPFXZG</v>
      </c>
      <c r="L43" s="3">
        <v>1138</v>
      </c>
      <c r="M43" s="14">
        <v>0.66</v>
      </c>
      <c r="N43" s="5">
        <v>0.03</v>
      </c>
      <c r="O43" s="5">
        <v>4.5499999999999999E-2</v>
      </c>
      <c r="P43" t="s">
        <v>49</v>
      </c>
      <c r="Q43" t="s">
        <v>50</v>
      </c>
      <c r="R43" s="6">
        <v>15774</v>
      </c>
      <c r="S43" s="7">
        <v>14.5</v>
      </c>
      <c r="T43" s="7">
        <v>21.55</v>
      </c>
      <c r="U43" s="4">
        <v>22</v>
      </c>
      <c r="V43" s="7">
        <v>22</v>
      </c>
      <c r="W43">
        <v>21.9</v>
      </c>
      <c r="X43">
        <v>30</v>
      </c>
      <c r="Y43" s="7">
        <v>3.3</v>
      </c>
      <c r="Z43">
        <v>0</v>
      </c>
      <c r="AA43" s="7">
        <v>3.54</v>
      </c>
      <c r="AB43" s="7">
        <v>6.84</v>
      </c>
      <c r="AC43" s="7">
        <v>15.16</v>
      </c>
      <c r="AD43" s="8">
        <v>0</v>
      </c>
      <c r="AE43" s="7">
        <v>0</v>
      </c>
      <c r="AF43" s="7">
        <v>0</v>
      </c>
      <c r="AG43" t="s">
        <v>315</v>
      </c>
      <c r="AH43" s="7">
        <v>0.2</v>
      </c>
      <c r="AI43">
        <v>11</v>
      </c>
      <c r="AJ43">
        <v>10</v>
      </c>
      <c r="AK43">
        <v>1</v>
      </c>
      <c r="AL43">
        <v>4</v>
      </c>
      <c r="AM43" t="s">
        <v>173</v>
      </c>
      <c r="AN43" t="s">
        <v>316</v>
      </c>
      <c r="AO43" t="s">
        <v>313</v>
      </c>
      <c r="AP43" t="s">
        <v>313</v>
      </c>
      <c r="AQ43" t="s">
        <v>47</v>
      </c>
      <c r="AR43" s="2" t="str">
        <f>HYPERLINK("https://keepa.com/#!product/1-B08ZJPFXZG", "https://keepa.com/#!product/1-B08ZJPFXZG")</f>
        <v>https://keepa.com/#!product/1-B08ZJPFXZG</v>
      </c>
      <c r="AS43" s="2" t="str">
        <f>HYPERLINK("https://camelcamelcamel.com/search?sq=B08ZJPFXZG", "https://camelcamelcamel.com/search?sq=B08ZJPFXZG")</f>
        <v>https://camelcamelcamel.com/search?sq=B08ZJPFXZG</v>
      </c>
      <c r="AT43" t="s">
        <v>51</v>
      </c>
      <c r="AU43" s="9">
        <v>46261.994883226813</v>
      </c>
    </row>
    <row r="44" spans="1:47" x14ac:dyDescent="0.2">
      <c r="A44" t="s">
        <v>317</v>
      </c>
      <c r="B44" t="s">
        <v>318</v>
      </c>
      <c r="C44" t="s">
        <v>47</v>
      </c>
      <c r="D44" t="s">
        <v>319</v>
      </c>
      <c r="E44" t="s">
        <v>320</v>
      </c>
      <c r="F44" t="s">
        <v>47</v>
      </c>
      <c r="G44" t="s">
        <v>48</v>
      </c>
      <c r="I44" t="s">
        <v>321</v>
      </c>
      <c r="J44">
        <v>1</v>
      </c>
      <c r="K44" s="2" t="str">
        <f>HYPERLINK("https://www.amazon.com/dp/B08ZXVVY8M", "https://www.amazon.com/dp/B08ZXVVY8M")</f>
        <v>https://www.amazon.com/dp/B08ZXVVY8M</v>
      </c>
      <c r="L44" s="3">
        <v>3736</v>
      </c>
      <c r="M44" s="12">
        <v>-1.37</v>
      </c>
      <c r="N44" s="13">
        <v>-6.2300000000000001E-2</v>
      </c>
      <c r="O44" s="13">
        <v>-8.4600000000000009E-2</v>
      </c>
      <c r="P44" t="s">
        <v>49</v>
      </c>
      <c r="Q44" t="s">
        <v>50</v>
      </c>
      <c r="R44" s="6">
        <v>4936</v>
      </c>
      <c r="S44" s="7">
        <v>16.2</v>
      </c>
      <c r="T44" s="7">
        <v>23.93</v>
      </c>
      <c r="U44" s="12">
        <v>22</v>
      </c>
      <c r="V44" s="7">
        <v>22</v>
      </c>
      <c r="W44">
        <v>22</v>
      </c>
      <c r="Y44" s="7">
        <v>3.3</v>
      </c>
      <c r="Z44">
        <v>0</v>
      </c>
      <c r="AA44" s="7">
        <v>3.87</v>
      </c>
      <c r="AB44" s="7">
        <v>7.17</v>
      </c>
      <c r="AC44" s="7">
        <v>14.83</v>
      </c>
      <c r="AD44" s="8">
        <v>0</v>
      </c>
      <c r="AE44" s="7">
        <v>0</v>
      </c>
      <c r="AF44" s="7">
        <v>0</v>
      </c>
      <c r="AG44" t="s">
        <v>322</v>
      </c>
      <c r="AH44" s="7">
        <v>0.24</v>
      </c>
      <c r="AI44">
        <v>1</v>
      </c>
      <c r="AJ44">
        <v>1</v>
      </c>
      <c r="AK44">
        <v>0</v>
      </c>
      <c r="AL44">
        <v>1</v>
      </c>
      <c r="AM44" t="s">
        <v>323</v>
      </c>
      <c r="AN44" t="s">
        <v>324</v>
      </c>
      <c r="AO44" t="s">
        <v>319</v>
      </c>
      <c r="AP44" t="s">
        <v>325</v>
      </c>
      <c r="AQ44" t="s">
        <v>47</v>
      </c>
      <c r="AR44" s="2" t="str">
        <f>HYPERLINK("https://keepa.com/#!product/1-B08ZXVVY8M", "https://keepa.com/#!product/1-B08ZXVVY8M")</f>
        <v>https://keepa.com/#!product/1-B08ZXVVY8M</v>
      </c>
      <c r="AS44" s="2" t="str">
        <f>HYPERLINK("https://camelcamelcamel.com/search?sq=B08ZXVVY8M", "https://camelcamelcamel.com/search?sq=B08ZXVVY8M")</f>
        <v>https://camelcamelcamel.com/search?sq=B08ZXVVY8M</v>
      </c>
      <c r="AT44" t="s">
        <v>51</v>
      </c>
      <c r="AU44" s="9">
        <v>46261.994883226536</v>
      </c>
    </row>
    <row r="45" spans="1:47" x14ac:dyDescent="0.2">
      <c r="A45" t="s">
        <v>326</v>
      </c>
      <c r="B45" t="s">
        <v>51</v>
      </c>
      <c r="C45" t="s">
        <v>47</v>
      </c>
      <c r="D45" t="s">
        <v>327</v>
      </c>
      <c r="E45" t="s">
        <v>173</v>
      </c>
      <c r="F45" t="s">
        <v>47</v>
      </c>
      <c r="G45" t="s">
        <v>61</v>
      </c>
      <c r="H45" s="2" t="str">
        <f>HYPERLINK("https://sellercentral.amazon.com/hz/approvalrequest/restrictions/approve?asin=B091Q19J6D", "https://sellercentral.amazon.com/hz/approvalrequest/restrictions/approve?asin=B091Q19J6D")</f>
        <v>https://sellercentral.amazon.com/hz/approvalrequest/restrictions/approve?asin=B091Q19J6D</v>
      </c>
      <c r="I45" t="s">
        <v>328</v>
      </c>
      <c r="J45">
        <v>1</v>
      </c>
      <c r="K45" s="2" t="str">
        <f>HYPERLINK("https://www.amazon.com/dp/B091Q19J6D", "https://www.amazon.com/dp/B091Q19J6D")</f>
        <v>https://www.amazon.com/dp/B091Q19J6D</v>
      </c>
      <c r="L45" s="10">
        <v>5</v>
      </c>
      <c r="M45" s="4">
        <v>9.94</v>
      </c>
      <c r="N45" s="5">
        <v>0.29320000000000002</v>
      </c>
      <c r="O45" s="5">
        <v>0.66269999999999996</v>
      </c>
      <c r="P45" t="s">
        <v>49</v>
      </c>
      <c r="Q45" t="s">
        <v>329</v>
      </c>
      <c r="R45" s="6">
        <v>215123</v>
      </c>
      <c r="S45" s="7">
        <v>15</v>
      </c>
      <c r="T45" s="7">
        <v>22.52</v>
      </c>
      <c r="U45" s="4">
        <v>33.9</v>
      </c>
      <c r="V45" s="7">
        <v>33.9</v>
      </c>
      <c r="W45">
        <v>33.9</v>
      </c>
      <c r="Y45" s="7">
        <v>5.09</v>
      </c>
      <c r="Z45">
        <v>0</v>
      </c>
      <c r="AA45" s="7">
        <v>3.87</v>
      </c>
      <c r="AB45" s="7">
        <v>8.9600000000000009</v>
      </c>
      <c r="AC45" s="7">
        <v>24.94</v>
      </c>
      <c r="AD45" s="8">
        <v>0</v>
      </c>
      <c r="AE45" s="7">
        <v>0</v>
      </c>
      <c r="AF45" s="7">
        <v>0</v>
      </c>
      <c r="AG45" t="s">
        <v>330</v>
      </c>
      <c r="AH45" s="7">
        <v>0.22</v>
      </c>
      <c r="AI45">
        <v>2</v>
      </c>
      <c r="AJ45">
        <v>2</v>
      </c>
      <c r="AK45">
        <v>0</v>
      </c>
      <c r="AL45">
        <v>1</v>
      </c>
      <c r="AM45" t="s">
        <v>51</v>
      </c>
      <c r="AN45" t="s">
        <v>331</v>
      </c>
      <c r="AO45" t="s">
        <v>51</v>
      </c>
      <c r="AP45" t="s">
        <v>332</v>
      </c>
      <c r="AQ45" t="s">
        <v>47</v>
      </c>
      <c r="AR45" s="2" t="str">
        <f>HYPERLINK("https://keepa.com/#!product/1-B091Q19J6D", "https://keepa.com/#!product/1-B091Q19J6D")</f>
        <v>https://keepa.com/#!product/1-B091Q19J6D</v>
      </c>
      <c r="AS45" s="2" t="str">
        <f>HYPERLINK("https://camelcamelcamel.com/search?sq=B091Q19J6D", "https://camelcamelcamel.com/search?sq=B091Q19J6D")</f>
        <v>https://camelcamelcamel.com/search?sq=B091Q19J6D</v>
      </c>
      <c r="AT45" t="s">
        <v>51</v>
      </c>
      <c r="AU45" s="9">
        <v>46261.99488322674</v>
      </c>
    </row>
    <row r="46" spans="1:47" x14ac:dyDescent="0.2">
      <c r="A46" t="s">
        <v>333</v>
      </c>
      <c r="B46" t="s">
        <v>273</v>
      </c>
      <c r="C46" t="s">
        <v>47</v>
      </c>
      <c r="D46" t="s">
        <v>334</v>
      </c>
      <c r="E46" t="s">
        <v>173</v>
      </c>
      <c r="F46" t="s">
        <v>47</v>
      </c>
      <c r="G46" t="s">
        <v>48</v>
      </c>
      <c r="I46" t="s">
        <v>335</v>
      </c>
      <c r="J46">
        <v>1</v>
      </c>
      <c r="K46" s="2" t="str">
        <f>HYPERLINK("https://www.amazon.com/dp/B09242GH8Q", "https://www.amazon.com/dp/B09242GH8Q")</f>
        <v>https://www.amazon.com/dp/B09242GH8Q</v>
      </c>
      <c r="L46" s="3">
        <v>2603</v>
      </c>
      <c r="P46" t="s">
        <v>49</v>
      </c>
      <c r="Q46" t="s">
        <v>50</v>
      </c>
      <c r="R46" s="6">
        <v>7230</v>
      </c>
      <c r="S46" s="7">
        <v>8.5</v>
      </c>
      <c r="Z46">
        <v>0</v>
      </c>
      <c r="AF46" s="7">
        <v>0</v>
      </c>
      <c r="AG46" t="s">
        <v>336</v>
      </c>
      <c r="AH46" s="7">
        <v>7.0000000000000007E-2</v>
      </c>
      <c r="AI46">
        <v>0</v>
      </c>
      <c r="AJ46">
        <v>0</v>
      </c>
      <c r="AK46">
        <v>0</v>
      </c>
      <c r="AL46">
        <v>0</v>
      </c>
      <c r="AM46" t="s">
        <v>173</v>
      </c>
      <c r="AN46" t="s">
        <v>337</v>
      </c>
      <c r="AO46" t="s">
        <v>338</v>
      </c>
      <c r="AP46" t="s">
        <v>338</v>
      </c>
      <c r="AQ46" t="s">
        <v>47</v>
      </c>
      <c r="AR46" s="2" t="str">
        <f>HYPERLINK("https://keepa.com/#!product/1-B09242GH8Q", "https://keepa.com/#!product/1-B09242GH8Q")</f>
        <v>https://keepa.com/#!product/1-B09242GH8Q</v>
      </c>
      <c r="AS46" s="2" t="str">
        <f>HYPERLINK("https://camelcamelcamel.com/search?sq=B09242GH8Q", "https://camelcamelcamel.com/search?sq=B09242GH8Q")</f>
        <v>https://camelcamelcamel.com/search?sq=B09242GH8Q</v>
      </c>
      <c r="AT46" t="s">
        <v>51</v>
      </c>
      <c r="AU46" s="9">
        <v>46261.994883226645</v>
      </c>
    </row>
    <row r="47" spans="1:47" x14ac:dyDescent="0.2">
      <c r="A47" t="s">
        <v>339</v>
      </c>
      <c r="B47" t="s">
        <v>171</v>
      </c>
      <c r="C47" t="s">
        <v>47</v>
      </c>
      <c r="D47" t="s">
        <v>327</v>
      </c>
      <c r="E47" t="s">
        <v>173</v>
      </c>
      <c r="F47" t="s">
        <v>47</v>
      </c>
      <c r="G47" t="s">
        <v>61</v>
      </c>
      <c r="H47" s="2" t="str">
        <f>HYPERLINK("https://sellercentral.amazon.com/hz/approvalrequest/restrictions/approve?asin=B09247SG83", "https://sellercentral.amazon.com/hz/approvalrequest/restrictions/approve?asin=B09247SG83")</f>
        <v>https://sellercentral.amazon.com/hz/approvalrequest/restrictions/approve?asin=B09247SG83</v>
      </c>
      <c r="I47" t="s">
        <v>340</v>
      </c>
      <c r="J47">
        <v>1</v>
      </c>
      <c r="K47" s="2" t="str">
        <f>HYPERLINK("https://www.amazon.com/dp/B09247SG83", "https://www.amazon.com/dp/B09247SG83")</f>
        <v>https://www.amazon.com/dp/B09247SG83</v>
      </c>
      <c r="L47" s="3">
        <v>1138</v>
      </c>
      <c r="M47" s="4">
        <v>5.76</v>
      </c>
      <c r="N47" s="5">
        <v>0.20149999999999998</v>
      </c>
      <c r="O47" s="5">
        <v>0.38400000000000001</v>
      </c>
      <c r="P47" t="s">
        <v>49</v>
      </c>
      <c r="Q47" t="s">
        <v>50</v>
      </c>
      <c r="R47" s="6">
        <v>15775</v>
      </c>
      <c r="S47" s="7">
        <v>15</v>
      </c>
      <c r="T47" s="7">
        <v>22.13</v>
      </c>
      <c r="U47" s="4">
        <v>28.59</v>
      </c>
      <c r="V47" s="7">
        <v>28.59</v>
      </c>
      <c r="W47">
        <v>28.59</v>
      </c>
      <c r="X47">
        <v>30.49</v>
      </c>
      <c r="Y47" s="7">
        <v>4.29</v>
      </c>
      <c r="Z47">
        <v>0</v>
      </c>
      <c r="AA47" s="7">
        <v>3.54</v>
      </c>
      <c r="AB47" s="7">
        <v>7.83</v>
      </c>
      <c r="AC47" s="7">
        <v>20.76</v>
      </c>
      <c r="AD47" s="8">
        <v>0</v>
      </c>
      <c r="AE47" s="7">
        <v>0</v>
      </c>
      <c r="AF47" s="7">
        <v>0</v>
      </c>
      <c r="AG47" t="s">
        <v>341</v>
      </c>
      <c r="AH47" s="7">
        <v>0.18</v>
      </c>
      <c r="AI47">
        <v>3</v>
      </c>
      <c r="AJ47">
        <v>2</v>
      </c>
      <c r="AK47">
        <v>1</v>
      </c>
      <c r="AL47">
        <v>1</v>
      </c>
      <c r="AM47" t="s">
        <v>173</v>
      </c>
      <c r="AN47" t="s">
        <v>342</v>
      </c>
      <c r="AO47" t="s">
        <v>327</v>
      </c>
      <c r="AP47" t="s">
        <v>327</v>
      </c>
      <c r="AQ47" t="s">
        <v>47</v>
      </c>
      <c r="AR47" s="2" t="str">
        <f>HYPERLINK("https://keepa.com/#!product/1-B09247SG83", "https://keepa.com/#!product/1-B09247SG83")</f>
        <v>https://keepa.com/#!product/1-B09247SG83</v>
      </c>
      <c r="AS47" s="2" t="str">
        <f>HYPERLINK("https://camelcamelcamel.com/search?sq=B09247SG83", "https://camelcamelcamel.com/search?sq=B09247SG83")</f>
        <v>https://camelcamelcamel.com/search?sq=B09247SG83</v>
      </c>
      <c r="AT47" t="s">
        <v>51</v>
      </c>
      <c r="AU47" s="9">
        <v>46261.99488322674</v>
      </c>
    </row>
    <row r="48" spans="1:47" x14ac:dyDescent="0.2">
      <c r="A48" t="s">
        <v>343</v>
      </c>
      <c r="B48" t="s">
        <v>300</v>
      </c>
      <c r="C48" t="s">
        <v>47</v>
      </c>
      <c r="D48" t="s">
        <v>344</v>
      </c>
      <c r="E48" t="s">
        <v>173</v>
      </c>
      <c r="F48" t="s">
        <v>47</v>
      </c>
      <c r="G48" t="s">
        <v>61</v>
      </c>
      <c r="H48" s="2" t="str">
        <f>HYPERLINK("https://sellercentral.amazon.com/hz/approvalrequest/restrictions/approve?asin=B09BYPBG5Z", "https://sellercentral.amazon.com/hz/approvalrequest/restrictions/approve?asin=B09BYPBG5Z")</f>
        <v>https://sellercentral.amazon.com/hz/approvalrequest/restrictions/approve?asin=B09BYPBG5Z</v>
      </c>
      <c r="I48" t="s">
        <v>345</v>
      </c>
      <c r="J48">
        <v>1</v>
      </c>
      <c r="K48" s="2" t="str">
        <f>HYPERLINK("https://www.amazon.com/dp/B09BYPBG5Z", "https://www.amazon.com/dp/B09BYPBG5Z")</f>
        <v>https://www.amazon.com/dp/B09BYPBG5Z</v>
      </c>
      <c r="L48" s="3">
        <v>750</v>
      </c>
      <c r="M48" s="12">
        <v>-0.2</v>
      </c>
      <c r="N48" s="13">
        <v>-1.3300000000000001E-2</v>
      </c>
      <c r="O48" s="13">
        <v>-2.1099999999999997E-2</v>
      </c>
      <c r="P48" t="s">
        <v>49</v>
      </c>
      <c r="Q48" t="s">
        <v>50</v>
      </c>
      <c r="R48" s="6">
        <v>22471</v>
      </c>
      <c r="S48" s="7">
        <v>9.5</v>
      </c>
      <c r="T48" s="7">
        <v>15.55</v>
      </c>
      <c r="U48" s="12">
        <v>14.99</v>
      </c>
      <c r="V48" s="7">
        <v>14.99</v>
      </c>
      <c r="W48">
        <v>14.99</v>
      </c>
      <c r="Y48" s="7">
        <v>2.25</v>
      </c>
      <c r="Z48">
        <v>0</v>
      </c>
      <c r="AA48" s="7">
        <v>3.44</v>
      </c>
      <c r="AB48" s="7">
        <v>5.69</v>
      </c>
      <c r="AC48" s="7">
        <v>9.3000000000000007</v>
      </c>
      <c r="AD48" s="8">
        <v>0</v>
      </c>
      <c r="AE48" s="7">
        <v>0</v>
      </c>
      <c r="AF48" s="7">
        <v>0</v>
      </c>
      <c r="AG48" t="s">
        <v>346</v>
      </c>
      <c r="AH48" s="7">
        <v>0.04</v>
      </c>
      <c r="AI48">
        <v>1</v>
      </c>
      <c r="AJ48">
        <v>1</v>
      </c>
      <c r="AK48">
        <v>0</v>
      </c>
      <c r="AL48">
        <v>1</v>
      </c>
      <c r="AM48" t="s">
        <v>347</v>
      </c>
      <c r="AN48" t="s">
        <v>348</v>
      </c>
      <c r="AO48" t="s">
        <v>349</v>
      </c>
      <c r="AP48" t="s">
        <v>349</v>
      </c>
      <c r="AQ48" t="s">
        <v>47</v>
      </c>
      <c r="AR48" s="2" t="str">
        <f>HYPERLINK("https://keepa.com/#!product/1-B09BYPBG5Z", "https://keepa.com/#!product/1-B09BYPBG5Z")</f>
        <v>https://keepa.com/#!product/1-B09BYPBG5Z</v>
      </c>
      <c r="AS48" s="2" t="str">
        <f>HYPERLINK("https://camelcamelcamel.com/search?sq=B09BYPBG5Z", "https://camelcamelcamel.com/search?sq=B09BYPBG5Z")</f>
        <v>https://camelcamelcamel.com/search?sq=B09BYPBG5Z</v>
      </c>
      <c r="AT48" t="s">
        <v>51</v>
      </c>
      <c r="AU48" s="9">
        <v>46261.994883226631</v>
      </c>
    </row>
    <row r="49" spans="1:47" x14ac:dyDescent="0.2">
      <c r="A49" t="s">
        <v>350</v>
      </c>
      <c r="B49" t="s">
        <v>300</v>
      </c>
      <c r="C49" t="s">
        <v>47</v>
      </c>
      <c r="D49" t="s">
        <v>351</v>
      </c>
      <c r="E49" t="s">
        <v>173</v>
      </c>
      <c r="F49" t="s">
        <v>47</v>
      </c>
      <c r="G49" t="s">
        <v>48</v>
      </c>
      <c r="I49" t="s">
        <v>352</v>
      </c>
      <c r="J49">
        <v>1</v>
      </c>
      <c r="K49" s="2" t="str">
        <f>HYPERLINK("https://www.amazon.com/dp/B09BYPP6FF", "https://www.amazon.com/dp/B09BYPP6FF")</f>
        <v>https://www.amazon.com/dp/B09BYPP6FF</v>
      </c>
      <c r="L49" s="3">
        <v>750</v>
      </c>
      <c r="P49" t="s">
        <v>49</v>
      </c>
      <c r="Q49" t="s">
        <v>50</v>
      </c>
      <c r="R49" s="6">
        <v>22471</v>
      </c>
      <c r="S49" s="7">
        <v>10.5</v>
      </c>
      <c r="Z49">
        <v>0</v>
      </c>
      <c r="AF49" s="7">
        <v>0</v>
      </c>
      <c r="AG49" t="s">
        <v>353</v>
      </c>
      <c r="AH49" s="7">
        <v>7.0000000000000007E-2</v>
      </c>
      <c r="AI49">
        <v>0</v>
      </c>
      <c r="AJ49">
        <v>0</v>
      </c>
      <c r="AK49">
        <v>0</v>
      </c>
      <c r="AL49">
        <v>0</v>
      </c>
      <c r="AM49" t="s">
        <v>347</v>
      </c>
      <c r="AN49" t="s">
        <v>354</v>
      </c>
      <c r="AO49" t="s">
        <v>355</v>
      </c>
      <c r="AP49" t="s">
        <v>355</v>
      </c>
      <c r="AQ49" t="s">
        <v>47</v>
      </c>
      <c r="AR49" s="2" t="str">
        <f>HYPERLINK("https://keepa.com/#!product/1-B09BYPP6FF", "https://keepa.com/#!product/1-B09BYPP6FF")</f>
        <v>https://keepa.com/#!product/1-B09BYPP6FF</v>
      </c>
      <c r="AS49" s="2" t="str">
        <f>HYPERLINK("https://camelcamelcamel.com/search?sq=B09BYPP6FF", "https://camelcamelcamel.com/search?sq=B09BYPP6FF")</f>
        <v>https://camelcamelcamel.com/search?sq=B09BYPP6FF</v>
      </c>
      <c r="AT49" t="s">
        <v>51</v>
      </c>
      <c r="AU49" s="9">
        <v>46261.994883226769</v>
      </c>
    </row>
    <row r="50" spans="1:47" x14ac:dyDescent="0.2">
      <c r="A50" t="s">
        <v>356</v>
      </c>
      <c r="B50" t="s">
        <v>171</v>
      </c>
      <c r="C50" t="s">
        <v>47</v>
      </c>
      <c r="D50" t="s">
        <v>357</v>
      </c>
      <c r="E50" t="s">
        <v>173</v>
      </c>
      <c r="F50" t="s">
        <v>47</v>
      </c>
      <c r="G50" t="s">
        <v>61</v>
      </c>
      <c r="H50" s="2" t="str">
        <f>HYPERLINK("https://sellercentral.amazon.com/hz/approvalrequest/restrictions/approve?asin=B09F33SXG6", "https://sellercentral.amazon.com/hz/approvalrequest/restrictions/approve?asin=B09F33SXG6")</f>
        <v>https://sellercentral.amazon.com/hz/approvalrequest/restrictions/approve?asin=B09F33SXG6</v>
      </c>
      <c r="I50" t="s">
        <v>358</v>
      </c>
      <c r="J50">
        <v>1</v>
      </c>
      <c r="K50" s="2" t="str">
        <f>HYPERLINK("https://www.amazon.com/dp/B09F33SXG6", "https://www.amazon.com/dp/B09F33SXG6")</f>
        <v>https://www.amazon.com/dp/B09F33SXG6</v>
      </c>
      <c r="L50" s="3">
        <v>1138</v>
      </c>
      <c r="M50" s="14">
        <v>1.96</v>
      </c>
      <c r="N50" s="5">
        <v>8.1300000000000011E-2</v>
      </c>
      <c r="O50" s="5">
        <v>0.13070000000000001</v>
      </c>
      <c r="P50" t="s">
        <v>49</v>
      </c>
      <c r="Q50" t="s">
        <v>50</v>
      </c>
      <c r="R50" s="6">
        <v>15775</v>
      </c>
      <c r="S50" s="7">
        <v>15</v>
      </c>
      <c r="T50" s="7">
        <v>22.13</v>
      </c>
      <c r="U50" s="4">
        <v>24.12</v>
      </c>
      <c r="V50" s="7">
        <v>24.12</v>
      </c>
      <c r="W50">
        <v>23.99</v>
      </c>
      <c r="X50">
        <v>30.49</v>
      </c>
      <c r="Y50" s="7">
        <v>3.62</v>
      </c>
      <c r="Z50">
        <v>0</v>
      </c>
      <c r="AA50" s="7">
        <v>3.54</v>
      </c>
      <c r="AB50" s="7">
        <v>7.16</v>
      </c>
      <c r="AC50" s="7">
        <v>16.96</v>
      </c>
      <c r="AD50" s="8">
        <v>0</v>
      </c>
      <c r="AE50" s="7">
        <v>0</v>
      </c>
      <c r="AF50" s="7">
        <v>0</v>
      </c>
      <c r="AG50" t="s">
        <v>359</v>
      </c>
      <c r="AH50" s="7">
        <v>0.22</v>
      </c>
      <c r="AI50">
        <v>7</v>
      </c>
      <c r="AJ50">
        <v>6</v>
      </c>
      <c r="AK50">
        <v>1</v>
      </c>
      <c r="AL50">
        <v>4</v>
      </c>
      <c r="AM50" t="s">
        <v>347</v>
      </c>
      <c r="AN50" t="s">
        <v>360</v>
      </c>
      <c r="AO50" t="s">
        <v>357</v>
      </c>
      <c r="AP50" t="s">
        <v>357</v>
      </c>
      <c r="AQ50" t="s">
        <v>47</v>
      </c>
      <c r="AR50" s="2" t="str">
        <f>HYPERLINK("https://keepa.com/#!product/1-B09F33SXG6", "https://keepa.com/#!product/1-B09F33SXG6")</f>
        <v>https://keepa.com/#!product/1-B09F33SXG6</v>
      </c>
      <c r="AS50" s="2" t="str">
        <f>HYPERLINK("https://camelcamelcamel.com/search?sq=B09F33SXG6", "https://camelcamelcamel.com/search?sq=B09F33SXG6")</f>
        <v>https://camelcamelcamel.com/search?sq=B09F33SXG6</v>
      </c>
      <c r="AT50" t="s">
        <v>51</v>
      </c>
      <c r="AU50" s="9">
        <v>46261.994883226704</v>
      </c>
    </row>
    <row r="51" spans="1:47" x14ac:dyDescent="0.2">
      <c r="A51" t="s">
        <v>361</v>
      </c>
      <c r="B51" t="s">
        <v>51</v>
      </c>
      <c r="C51" t="s">
        <v>47</v>
      </c>
      <c r="D51" t="s">
        <v>115</v>
      </c>
      <c r="E51" t="s">
        <v>116</v>
      </c>
      <c r="F51" t="s">
        <v>47</v>
      </c>
      <c r="G51" t="s">
        <v>48</v>
      </c>
      <c r="I51" t="s">
        <v>362</v>
      </c>
      <c r="J51">
        <v>1</v>
      </c>
      <c r="K51" s="2" t="str">
        <f>HYPERLINK("https://www.amazon.com/dp/B09FV4P7T8", "https://www.amazon.com/dp/B09FV4P7T8")</f>
        <v>https://www.amazon.com/dp/B09FV4P7T8</v>
      </c>
      <c r="L51" s="10">
        <v>5</v>
      </c>
      <c r="P51" t="s">
        <v>49</v>
      </c>
      <c r="Q51" t="s">
        <v>75</v>
      </c>
      <c r="S51" s="7">
        <v>18</v>
      </c>
      <c r="Z51">
        <v>0</v>
      </c>
      <c r="AF51" s="7">
        <v>0</v>
      </c>
      <c r="AG51" t="s">
        <v>363</v>
      </c>
      <c r="AH51" s="7">
        <v>0.61</v>
      </c>
      <c r="AI51">
        <v>0</v>
      </c>
      <c r="AJ51">
        <v>0</v>
      </c>
      <c r="AK51">
        <v>0</v>
      </c>
      <c r="AL51">
        <v>0</v>
      </c>
      <c r="AM51" t="s">
        <v>116</v>
      </c>
      <c r="AN51" t="s">
        <v>71</v>
      </c>
      <c r="AO51" t="s">
        <v>364</v>
      </c>
      <c r="AP51" t="s">
        <v>364</v>
      </c>
      <c r="AQ51" t="s">
        <v>47</v>
      </c>
      <c r="AR51" s="2" t="str">
        <f>HYPERLINK("https://keepa.com/#!product/1-B09FV4P7T8", "https://keepa.com/#!product/1-B09FV4P7T8")</f>
        <v>https://keepa.com/#!product/1-B09FV4P7T8</v>
      </c>
      <c r="AS51" s="2" t="str">
        <f>HYPERLINK("https://camelcamelcamel.com/search?sq=B09FV4P7T8", "https://camelcamelcamel.com/search?sq=B09FV4P7T8")</f>
        <v>https://camelcamelcamel.com/search?sq=B09FV4P7T8</v>
      </c>
      <c r="AT51" t="s">
        <v>51</v>
      </c>
      <c r="AU51" s="9">
        <v>46261.994883226558</v>
      </c>
    </row>
    <row r="52" spans="1:47" x14ac:dyDescent="0.2">
      <c r="A52" t="s">
        <v>365</v>
      </c>
      <c r="B52" t="s">
        <v>51</v>
      </c>
      <c r="C52" t="s">
        <v>47</v>
      </c>
      <c r="D52" t="s">
        <v>366</v>
      </c>
      <c r="E52" t="s">
        <v>367</v>
      </c>
      <c r="F52" t="s">
        <v>47</v>
      </c>
      <c r="G52" t="s">
        <v>48</v>
      </c>
      <c r="I52" t="s">
        <v>368</v>
      </c>
      <c r="J52">
        <v>1</v>
      </c>
      <c r="K52" s="2" t="str">
        <f>HYPERLINK("https://www.amazon.com/dp/B09HRNCKN4", "https://www.amazon.com/dp/B09HRNCKN4")</f>
        <v>https://www.amazon.com/dp/B09HRNCKN4</v>
      </c>
      <c r="L52" s="11">
        <v>51</v>
      </c>
      <c r="P52" t="s">
        <v>49</v>
      </c>
      <c r="Q52" t="s">
        <v>50</v>
      </c>
      <c r="R52" s="6">
        <v>140657</v>
      </c>
      <c r="S52" s="7">
        <v>14</v>
      </c>
      <c r="Z52">
        <v>0</v>
      </c>
      <c r="AF52" s="7">
        <v>0</v>
      </c>
      <c r="AG52" t="s">
        <v>369</v>
      </c>
      <c r="AH52" s="7">
        <v>0.22</v>
      </c>
      <c r="AI52">
        <v>0</v>
      </c>
      <c r="AJ52">
        <v>0</v>
      </c>
      <c r="AK52">
        <v>0</v>
      </c>
      <c r="AL52">
        <v>0</v>
      </c>
      <c r="AM52" t="s">
        <v>370</v>
      </c>
      <c r="AN52" t="s">
        <v>231</v>
      </c>
      <c r="AO52" t="s">
        <v>366</v>
      </c>
      <c r="AP52" t="s">
        <v>366</v>
      </c>
      <c r="AQ52" t="s">
        <v>47</v>
      </c>
      <c r="AR52" s="2" t="str">
        <f>HYPERLINK("https://keepa.com/#!product/1-B09HRNCKN4", "https://keepa.com/#!product/1-B09HRNCKN4")</f>
        <v>https://keepa.com/#!product/1-B09HRNCKN4</v>
      </c>
      <c r="AS52" s="2" t="str">
        <f>HYPERLINK("https://camelcamelcamel.com/search?sq=B09HRNCKN4", "https://camelcamelcamel.com/search?sq=B09HRNCKN4")</f>
        <v>https://camelcamelcamel.com/search?sq=B09HRNCKN4</v>
      </c>
      <c r="AT52" t="s">
        <v>51</v>
      </c>
      <c r="AU52" s="9">
        <v>46261.994883226806</v>
      </c>
    </row>
    <row r="53" spans="1:47" x14ac:dyDescent="0.2">
      <c r="A53" t="s">
        <v>371</v>
      </c>
      <c r="B53" t="s">
        <v>51</v>
      </c>
      <c r="C53" t="s">
        <v>47</v>
      </c>
      <c r="D53" t="s">
        <v>372</v>
      </c>
      <c r="E53" t="s">
        <v>373</v>
      </c>
      <c r="F53" t="s">
        <v>47</v>
      </c>
      <c r="G53" t="s">
        <v>48</v>
      </c>
      <c r="I53" t="s">
        <v>374</v>
      </c>
      <c r="J53">
        <v>1</v>
      </c>
      <c r="K53" s="2" t="str">
        <f>HYPERLINK("https://www.amazon.com/dp/B09JDXC8PM", "https://www.amazon.com/dp/B09JDXC8PM")</f>
        <v>https://www.amazon.com/dp/B09JDXC8PM</v>
      </c>
      <c r="L53" s="3">
        <v>625</v>
      </c>
      <c r="M53" s="14">
        <v>0.55000000000000004</v>
      </c>
      <c r="N53" s="5">
        <v>2.7699999999999999E-2</v>
      </c>
      <c r="O53" s="5">
        <v>4.4000000000000004E-2</v>
      </c>
      <c r="P53" t="s">
        <v>49</v>
      </c>
      <c r="Q53" t="s">
        <v>50</v>
      </c>
      <c r="R53" s="6">
        <v>26174</v>
      </c>
      <c r="S53" s="7">
        <v>12.5</v>
      </c>
      <c r="T53" s="7">
        <v>19.57</v>
      </c>
      <c r="U53" s="4">
        <v>19.89</v>
      </c>
      <c r="V53" s="7">
        <v>19.89</v>
      </c>
      <c r="W53">
        <v>19.89</v>
      </c>
      <c r="X53">
        <v>33.700000000000003</v>
      </c>
      <c r="Y53" s="7">
        <v>2.98</v>
      </c>
      <c r="Z53">
        <v>0</v>
      </c>
      <c r="AA53" s="7">
        <v>3.86</v>
      </c>
      <c r="AB53" s="7">
        <v>6.84</v>
      </c>
      <c r="AC53" s="7">
        <v>13.05</v>
      </c>
      <c r="AD53" s="8">
        <v>0</v>
      </c>
      <c r="AE53" s="7">
        <v>0</v>
      </c>
      <c r="AF53" s="7">
        <v>0</v>
      </c>
      <c r="AG53" t="s">
        <v>375</v>
      </c>
      <c r="AH53" s="7">
        <v>0.18</v>
      </c>
      <c r="AI53">
        <v>5</v>
      </c>
      <c r="AJ53">
        <v>3</v>
      </c>
      <c r="AK53">
        <v>2</v>
      </c>
      <c r="AL53">
        <v>2</v>
      </c>
      <c r="AM53" t="s">
        <v>373</v>
      </c>
      <c r="AN53" t="s">
        <v>376</v>
      </c>
      <c r="AO53" t="s">
        <v>372</v>
      </c>
      <c r="AP53" t="s">
        <v>372</v>
      </c>
      <c r="AQ53" t="s">
        <v>47</v>
      </c>
      <c r="AR53" s="2" t="str">
        <f>HYPERLINK("https://keepa.com/#!product/1-B09JDXC8PM", "https://keepa.com/#!product/1-B09JDXC8PM")</f>
        <v>https://keepa.com/#!product/1-B09JDXC8PM</v>
      </c>
      <c r="AS53" s="2" t="str">
        <f>HYPERLINK("https://camelcamelcamel.com/search?sq=B09JDXC8PM", "https://camelcamelcamel.com/search?sq=B09JDXC8PM")</f>
        <v>https://camelcamelcamel.com/search?sq=B09JDXC8PM</v>
      </c>
      <c r="AT53" t="s">
        <v>51</v>
      </c>
      <c r="AU53" s="9">
        <v>46261.994883226835</v>
      </c>
    </row>
    <row r="54" spans="1:47" x14ac:dyDescent="0.2">
      <c r="A54" t="s">
        <v>377</v>
      </c>
      <c r="B54" t="s">
        <v>378</v>
      </c>
      <c r="C54" t="s">
        <v>47</v>
      </c>
      <c r="D54" t="s">
        <v>379</v>
      </c>
      <c r="E54" t="s">
        <v>320</v>
      </c>
      <c r="F54" t="s">
        <v>47</v>
      </c>
      <c r="G54" t="s">
        <v>48</v>
      </c>
      <c r="I54" t="s">
        <v>380</v>
      </c>
      <c r="J54">
        <v>1</v>
      </c>
      <c r="K54" s="2" t="str">
        <f>HYPERLINK("https://www.amazon.com/dp/B09NFLGNPB", "https://www.amazon.com/dp/B09NFLGNPB")</f>
        <v>https://www.amazon.com/dp/B09NFLGNPB</v>
      </c>
      <c r="L54" s="3">
        <v>263</v>
      </c>
      <c r="M54" s="12">
        <v>-2.09</v>
      </c>
      <c r="N54" s="13">
        <v>-9.2200000000000004E-2</v>
      </c>
      <c r="O54" s="13">
        <v>-0.11939999999999999</v>
      </c>
      <c r="P54" t="s">
        <v>49</v>
      </c>
      <c r="Q54" t="s">
        <v>50</v>
      </c>
      <c r="R54" s="6">
        <v>49578</v>
      </c>
      <c r="S54" s="7">
        <v>17.5</v>
      </c>
      <c r="T54" s="7">
        <v>25.46</v>
      </c>
      <c r="U54" s="12">
        <v>22.68</v>
      </c>
      <c r="V54" s="7">
        <v>22.68</v>
      </c>
      <c r="W54">
        <v>22.68</v>
      </c>
      <c r="Y54" s="7">
        <v>3.4</v>
      </c>
      <c r="Z54">
        <v>0</v>
      </c>
      <c r="AA54" s="7">
        <v>3.87</v>
      </c>
      <c r="AB54" s="7">
        <v>7.27</v>
      </c>
      <c r="AC54" s="7">
        <v>15.41</v>
      </c>
      <c r="AD54" s="8">
        <v>0</v>
      </c>
      <c r="AE54" s="7">
        <v>0</v>
      </c>
      <c r="AF54" s="7">
        <v>0</v>
      </c>
      <c r="AG54" t="s">
        <v>381</v>
      </c>
      <c r="AH54" s="7">
        <v>0.24</v>
      </c>
      <c r="AI54">
        <v>2</v>
      </c>
      <c r="AJ54">
        <v>2</v>
      </c>
      <c r="AK54">
        <v>0</v>
      </c>
      <c r="AL54">
        <v>2</v>
      </c>
      <c r="AM54" t="s">
        <v>382</v>
      </c>
      <c r="AN54" t="s">
        <v>51</v>
      </c>
      <c r="AO54" t="s">
        <v>379</v>
      </c>
      <c r="AP54" t="s">
        <v>383</v>
      </c>
      <c r="AQ54" t="s">
        <v>47</v>
      </c>
      <c r="AR54" s="2" t="str">
        <f>HYPERLINK("https://keepa.com/#!product/1-B09NFLGNPB", "https://keepa.com/#!product/1-B09NFLGNPB")</f>
        <v>https://keepa.com/#!product/1-B09NFLGNPB</v>
      </c>
      <c r="AS54" s="2" t="str">
        <f>HYPERLINK("https://camelcamelcamel.com/search?sq=B09NFLGNPB", "https://camelcamelcamel.com/search?sq=B09NFLGNPB")</f>
        <v>https://camelcamelcamel.com/search?sq=B09NFLGNPB</v>
      </c>
      <c r="AT54" t="s">
        <v>51</v>
      </c>
      <c r="AU54" s="9">
        <v>46261.994883226565</v>
      </c>
    </row>
    <row r="55" spans="1:47" x14ac:dyDescent="0.2">
      <c r="A55" t="s">
        <v>384</v>
      </c>
      <c r="B55" t="s">
        <v>385</v>
      </c>
      <c r="C55" t="s">
        <v>47</v>
      </c>
      <c r="D55" t="s">
        <v>386</v>
      </c>
      <c r="E55" t="s">
        <v>173</v>
      </c>
      <c r="F55" t="s">
        <v>47</v>
      </c>
      <c r="G55" t="s">
        <v>61</v>
      </c>
      <c r="H55" s="2" t="str">
        <f>HYPERLINK("https://sellercentral.amazon.com/hz/approvalrequest/restrictions/approve?asin=B09NXR3B91", "https://sellercentral.amazon.com/hz/approvalrequest/restrictions/approve?asin=B09NXR3B91")</f>
        <v>https://sellercentral.amazon.com/hz/approvalrequest/restrictions/approve?asin=B09NXR3B91</v>
      </c>
      <c r="I55" t="s">
        <v>387</v>
      </c>
      <c r="J55">
        <v>1</v>
      </c>
      <c r="K55" s="2" t="str">
        <f>HYPERLINK("https://www.amazon.com/dp/B09NXR3B91", "https://www.amazon.com/dp/B09NXR3B91")</f>
        <v>https://www.amazon.com/dp/B09NXR3B91</v>
      </c>
      <c r="L55" s="3">
        <v>356</v>
      </c>
      <c r="M55" s="12">
        <v>-0.04</v>
      </c>
      <c r="N55" s="13">
        <v>-2.8999999999999998E-3</v>
      </c>
      <c r="O55" s="13">
        <v>-4.6999999999999993E-3</v>
      </c>
      <c r="P55" t="s">
        <v>49</v>
      </c>
      <c r="Q55" t="s">
        <v>50</v>
      </c>
      <c r="R55" s="6">
        <v>40069</v>
      </c>
      <c r="S55" s="7">
        <v>8.5</v>
      </c>
      <c r="T55" s="7">
        <v>14.37</v>
      </c>
      <c r="U55" s="12">
        <v>14</v>
      </c>
      <c r="V55" s="7">
        <v>14</v>
      </c>
      <c r="W55">
        <v>14</v>
      </c>
      <c r="Y55" s="7">
        <v>2.1</v>
      </c>
      <c r="Z55">
        <v>0</v>
      </c>
      <c r="AA55" s="7">
        <v>3.44</v>
      </c>
      <c r="AB55" s="7">
        <v>5.54</v>
      </c>
      <c r="AC55" s="7">
        <v>8.4600000000000009</v>
      </c>
      <c r="AD55" s="8">
        <v>0</v>
      </c>
      <c r="AE55" s="7">
        <v>0</v>
      </c>
      <c r="AF55" s="7">
        <v>0</v>
      </c>
      <c r="AG55" t="s">
        <v>388</v>
      </c>
      <c r="AH55" s="7">
        <v>7.0000000000000007E-2</v>
      </c>
      <c r="AI55">
        <v>1</v>
      </c>
      <c r="AJ55">
        <v>1</v>
      </c>
      <c r="AK55">
        <v>0</v>
      </c>
      <c r="AL55">
        <v>1</v>
      </c>
      <c r="AM55" t="s">
        <v>173</v>
      </c>
      <c r="AN55" t="s">
        <v>389</v>
      </c>
      <c r="AO55" t="s">
        <v>386</v>
      </c>
      <c r="AP55" t="s">
        <v>386</v>
      </c>
      <c r="AQ55" t="s">
        <v>47</v>
      </c>
      <c r="AR55" s="2" t="str">
        <f>HYPERLINK("https://keepa.com/#!product/1-B09NXR3B91", "https://keepa.com/#!product/1-B09NXR3B91")</f>
        <v>https://keepa.com/#!product/1-B09NXR3B91</v>
      </c>
      <c r="AS55" s="2" t="str">
        <f>HYPERLINK("https://camelcamelcamel.com/search?sq=B09NXR3B91", "https://camelcamelcamel.com/search?sq=B09NXR3B91")</f>
        <v>https://camelcamelcamel.com/search?sq=B09NXR3B91</v>
      </c>
      <c r="AT55" t="s">
        <v>51</v>
      </c>
      <c r="AU55" s="9">
        <v>46261.994883226675</v>
      </c>
    </row>
    <row r="56" spans="1:47" x14ac:dyDescent="0.2">
      <c r="A56" t="s">
        <v>390</v>
      </c>
      <c r="B56" t="s">
        <v>391</v>
      </c>
      <c r="C56" t="s">
        <v>47</v>
      </c>
      <c r="D56" t="s">
        <v>392</v>
      </c>
      <c r="E56" t="s">
        <v>255</v>
      </c>
      <c r="F56" t="s">
        <v>47</v>
      </c>
      <c r="G56" t="s">
        <v>61</v>
      </c>
      <c r="H56" s="2" t="str">
        <f>HYPERLINK("https://sellercentral.amazon.com/hz/approvalrequest/restrictions/approve?asin=B09S6L7RH7", "https://sellercentral.amazon.com/hz/approvalrequest/restrictions/approve?asin=B09S6L7RH7")</f>
        <v>https://sellercentral.amazon.com/hz/approvalrequest/restrictions/approve?asin=B09S6L7RH7</v>
      </c>
      <c r="I56" t="s">
        <v>393</v>
      </c>
      <c r="J56">
        <v>1</v>
      </c>
      <c r="K56" s="2" t="str">
        <f>HYPERLINK("https://www.amazon.com/dp/B09S6L7RH7", "https://www.amazon.com/dp/B09S6L7RH7")</f>
        <v>https://www.amazon.com/dp/B09S6L7RH7</v>
      </c>
      <c r="L56" s="3">
        <v>95</v>
      </c>
      <c r="M56" s="4">
        <v>6.29</v>
      </c>
      <c r="N56" s="5">
        <v>0.1613</v>
      </c>
      <c r="O56" s="5">
        <v>0.27350000000000002</v>
      </c>
      <c r="P56" t="s">
        <v>49</v>
      </c>
      <c r="Q56" t="s">
        <v>50</v>
      </c>
      <c r="R56" s="6">
        <v>98487</v>
      </c>
      <c r="S56" s="7">
        <v>23</v>
      </c>
      <c r="T56" s="7">
        <v>31.92</v>
      </c>
      <c r="U56" s="4">
        <v>39</v>
      </c>
      <c r="V56" s="7">
        <v>39</v>
      </c>
      <c r="W56">
        <v>39</v>
      </c>
      <c r="X56">
        <v>52.71</v>
      </c>
      <c r="Y56" s="7">
        <v>5.85</v>
      </c>
      <c r="Z56">
        <v>0</v>
      </c>
      <c r="AA56" s="7">
        <v>3.86</v>
      </c>
      <c r="AB56" s="7">
        <v>9.7100000000000009</v>
      </c>
      <c r="AC56" s="7">
        <v>29.29</v>
      </c>
      <c r="AD56" s="8">
        <v>0</v>
      </c>
      <c r="AE56" s="7">
        <v>0</v>
      </c>
      <c r="AF56" s="7">
        <v>0</v>
      </c>
      <c r="AG56" t="s">
        <v>394</v>
      </c>
      <c r="AH56" s="7">
        <v>0.13</v>
      </c>
      <c r="AI56">
        <v>6</v>
      </c>
      <c r="AJ56">
        <v>4</v>
      </c>
      <c r="AK56">
        <v>2</v>
      </c>
      <c r="AL56">
        <v>1</v>
      </c>
      <c r="AM56" t="s">
        <v>395</v>
      </c>
      <c r="AN56" t="s">
        <v>396</v>
      </c>
      <c r="AO56" t="s">
        <v>397</v>
      </c>
      <c r="AP56" t="s">
        <v>392</v>
      </c>
      <c r="AQ56" t="s">
        <v>47</v>
      </c>
      <c r="AR56" s="2" t="str">
        <f>HYPERLINK("https://keepa.com/#!product/1-B09S6L7RH7", "https://keepa.com/#!product/1-B09S6L7RH7")</f>
        <v>https://keepa.com/#!product/1-B09S6L7RH7</v>
      </c>
      <c r="AS56" s="2" t="str">
        <f>HYPERLINK("https://camelcamelcamel.com/search?sq=B09S6L7RH7", "https://camelcamelcamel.com/search?sq=B09S6L7RH7")</f>
        <v>https://camelcamelcamel.com/search?sq=B09S6L7RH7</v>
      </c>
      <c r="AT56" t="s">
        <v>51</v>
      </c>
      <c r="AU56" s="9">
        <v>46261.994883226711</v>
      </c>
    </row>
    <row r="57" spans="1:47" x14ac:dyDescent="0.2">
      <c r="A57" t="s">
        <v>398</v>
      </c>
      <c r="B57" t="s">
        <v>399</v>
      </c>
      <c r="C57" t="s">
        <v>47</v>
      </c>
      <c r="D57" t="s">
        <v>400</v>
      </c>
      <c r="E57" t="s">
        <v>173</v>
      </c>
      <c r="F57" t="s">
        <v>47</v>
      </c>
      <c r="G57" t="s">
        <v>48</v>
      </c>
      <c r="I57" t="s">
        <v>401</v>
      </c>
      <c r="J57">
        <v>1</v>
      </c>
      <c r="K57" s="2" t="str">
        <f>HYPERLINK("https://www.amazon.com/dp/B09VC25YXL", "https://www.amazon.com/dp/B09VC25YXL")</f>
        <v>https://www.amazon.com/dp/B09VC25YXL</v>
      </c>
      <c r="L57" s="3">
        <v>123</v>
      </c>
      <c r="M57" s="4">
        <v>9.58</v>
      </c>
      <c r="N57" s="5">
        <v>0.29420000000000002</v>
      </c>
      <c r="O57" s="5">
        <v>0.68430000000000002</v>
      </c>
      <c r="P57" t="s">
        <v>49</v>
      </c>
      <c r="Q57" t="s">
        <v>50</v>
      </c>
      <c r="R57" s="6">
        <v>83640</v>
      </c>
      <c r="S57" s="7">
        <v>14</v>
      </c>
      <c r="T57" s="7">
        <v>21.62</v>
      </c>
      <c r="U57" s="4">
        <v>32.56</v>
      </c>
      <c r="V57" s="7">
        <v>32.56</v>
      </c>
      <c r="W57">
        <v>32.56</v>
      </c>
      <c r="X57">
        <v>34.950000000000003</v>
      </c>
      <c r="Y57" s="7">
        <v>4.88</v>
      </c>
      <c r="Z57">
        <v>0</v>
      </c>
      <c r="AA57" s="7">
        <v>4.0999999999999996</v>
      </c>
      <c r="AB57" s="7">
        <v>8.98</v>
      </c>
      <c r="AC57" s="7">
        <v>23.58</v>
      </c>
      <c r="AD57" s="8">
        <v>0</v>
      </c>
      <c r="AE57" s="7">
        <v>0</v>
      </c>
      <c r="AF57" s="7">
        <v>0</v>
      </c>
      <c r="AG57" t="s">
        <v>402</v>
      </c>
      <c r="AH57" s="7">
        <v>0.26</v>
      </c>
      <c r="AI57">
        <v>5</v>
      </c>
      <c r="AJ57">
        <v>4</v>
      </c>
      <c r="AK57">
        <v>1</v>
      </c>
      <c r="AL57">
        <v>4</v>
      </c>
      <c r="AM57" t="s">
        <v>403</v>
      </c>
      <c r="AN57" t="s">
        <v>404</v>
      </c>
      <c r="AO57" t="s">
        <v>400</v>
      </c>
      <c r="AP57" t="s">
        <v>405</v>
      </c>
      <c r="AQ57" t="s">
        <v>47</v>
      </c>
      <c r="AR57" s="2" t="str">
        <f>HYPERLINK("https://keepa.com/#!product/1-B09VC25YXL", "https://keepa.com/#!product/1-B09VC25YXL")</f>
        <v>https://keepa.com/#!product/1-B09VC25YXL</v>
      </c>
      <c r="AS57" s="2" t="str">
        <f>HYPERLINK("https://camelcamelcamel.com/search?sq=B09VC25YXL", "https://camelcamelcamel.com/search?sq=B09VC25YXL")</f>
        <v>https://camelcamelcamel.com/search?sq=B09VC25YXL</v>
      </c>
      <c r="AT57" t="s">
        <v>51</v>
      </c>
      <c r="AU57" s="9">
        <v>46261.994883226813</v>
      </c>
    </row>
    <row r="58" spans="1:47" x14ac:dyDescent="0.2">
      <c r="A58" t="s">
        <v>406</v>
      </c>
      <c r="B58" t="s">
        <v>399</v>
      </c>
      <c r="C58" t="s">
        <v>47</v>
      </c>
      <c r="D58" t="s">
        <v>407</v>
      </c>
      <c r="E58" t="s">
        <v>173</v>
      </c>
      <c r="F58" t="s">
        <v>47</v>
      </c>
      <c r="G58" t="s">
        <v>61</v>
      </c>
      <c r="H58" s="2" t="str">
        <f>HYPERLINK("https://sellercentral.amazon.com/hz/approvalrequest/restrictions/approve?asin=B09VC2J5M3", "https://sellercentral.amazon.com/hz/approvalrequest/restrictions/approve?asin=B09VC2J5M3")</f>
        <v>https://sellercentral.amazon.com/hz/approvalrequest/restrictions/approve?asin=B09VC2J5M3</v>
      </c>
      <c r="I58" t="s">
        <v>408</v>
      </c>
      <c r="J58">
        <v>1</v>
      </c>
      <c r="K58" s="2" t="str">
        <f>HYPERLINK("https://www.amazon.com/dp/B09VC2J5M3", "https://www.amazon.com/dp/B09VC2J5M3")</f>
        <v>https://www.amazon.com/dp/B09VC2J5M3</v>
      </c>
      <c r="L58" s="3">
        <v>123</v>
      </c>
      <c r="M58" s="14">
        <v>2.08</v>
      </c>
      <c r="N58" s="5">
        <v>9.3299999999999994E-2</v>
      </c>
      <c r="O58" s="5">
        <v>0.16</v>
      </c>
      <c r="P58" t="s">
        <v>49</v>
      </c>
      <c r="Q58" t="s">
        <v>50</v>
      </c>
      <c r="R58" s="6">
        <v>83640</v>
      </c>
      <c r="S58" s="7">
        <v>13</v>
      </c>
      <c r="T58" s="7">
        <v>20.170000000000002</v>
      </c>
      <c r="U58" s="4">
        <v>22.29</v>
      </c>
      <c r="V58" s="7">
        <v>22.29</v>
      </c>
      <c r="W58">
        <v>22.29</v>
      </c>
      <c r="X58">
        <v>32.57</v>
      </c>
      <c r="Y58" s="7">
        <v>3.34</v>
      </c>
      <c r="Z58">
        <v>0</v>
      </c>
      <c r="AA58" s="7">
        <v>3.87</v>
      </c>
      <c r="AB58" s="7">
        <v>7.21</v>
      </c>
      <c r="AC58" s="7">
        <v>15.08</v>
      </c>
      <c r="AD58" s="8">
        <v>0</v>
      </c>
      <c r="AE58" s="7">
        <v>0</v>
      </c>
      <c r="AF58" s="7">
        <v>0</v>
      </c>
      <c r="AG58" t="s">
        <v>409</v>
      </c>
      <c r="AH58" s="7">
        <v>0.24</v>
      </c>
      <c r="AI58">
        <v>8</v>
      </c>
      <c r="AJ58">
        <v>7</v>
      </c>
      <c r="AK58">
        <v>1</v>
      </c>
      <c r="AL58">
        <v>1</v>
      </c>
      <c r="AM58" t="s">
        <v>173</v>
      </c>
      <c r="AN58" t="s">
        <v>410</v>
      </c>
      <c r="AO58" t="s">
        <v>407</v>
      </c>
      <c r="AP58" t="s">
        <v>411</v>
      </c>
      <c r="AQ58" t="s">
        <v>47</v>
      </c>
      <c r="AR58" s="2" t="str">
        <f>HYPERLINK("https://keepa.com/#!product/1-B09VC2J5M3", "https://keepa.com/#!product/1-B09VC2J5M3")</f>
        <v>https://keepa.com/#!product/1-B09VC2J5M3</v>
      </c>
      <c r="AS58" s="2" t="str">
        <f>HYPERLINK("https://camelcamelcamel.com/search?sq=B09VC2J5M3", "https://camelcamelcamel.com/search?sq=B09VC2J5M3")</f>
        <v>https://camelcamelcamel.com/search?sq=B09VC2J5M3</v>
      </c>
      <c r="AT58" t="s">
        <v>51</v>
      </c>
      <c r="AU58" s="9">
        <v>46261.994883226667</v>
      </c>
    </row>
    <row r="59" spans="1:47" x14ac:dyDescent="0.2">
      <c r="A59" t="s">
        <v>412</v>
      </c>
      <c r="B59" t="s">
        <v>399</v>
      </c>
      <c r="C59" t="s">
        <v>47</v>
      </c>
      <c r="D59" t="s">
        <v>413</v>
      </c>
      <c r="E59" t="s">
        <v>173</v>
      </c>
      <c r="F59" t="s">
        <v>47</v>
      </c>
      <c r="G59" t="s">
        <v>61</v>
      </c>
      <c r="H59" s="2" t="str">
        <f>HYPERLINK("https://sellercentral.amazon.com/hz/approvalrequest/restrictions/approve?asin=B09VC2PW9R", "https://sellercentral.amazon.com/hz/approvalrequest/restrictions/approve?asin=B09VC2PW9R")</f>
        <v>https://sellercentral.amazon.com/hz/approvalrequest/restrictions/approve?asin=B09VC2PW9R</v>
      </c>
      <c r="I59" t="s">
        <v>414</v>
      </c>
      <c r="J59">
        <v>1</v>
      </c>
      <c r="K59" s="2" t="str">
        <f>HYPERLINK("https://www.amazon.com/dp/B09VC2PW9R", "https://www.amazon.com/dp/B09VC2PW9R")</f>
        <v>https://www.amazon.com/dp/B09VC2PW9R</v>
      </c>
      <c r="L59" s="3">
        <v>123</v>
      </c>
      <c r="M59" s="12">
        <v>-2.4</v>
      </c>
      <c r="N59" s="13">
        <v>-0.12990000000000002</v>
      </c>
      <c r="O59" s="13">
        <v>-0.1714</v>
      </c>
      <c r="P59" t="s">
        <v>49</v>
      </c>
      <c r="Q59" t="s">
        <v>50</v>
      </c>
      <c r="R59" s="6">
        <v>83640</v>
      </c>
      <c r="S59" s="7">
        <v>14</v>
      </c>
      <c r="T59" s="7">
        <v>21.63</v>
      </c>
      <c r="U59" s="12">
        <v>18.48</v>
      </c>
      <c r="V59" s="7">
        <v>18.48</v>
      </c>
      <c r="W59">
        <v>18.440000000000001</v>
      </c>
      <c r="X59">
        <v>21.32</v>
      </c>
      <c r="Y59" s="7">
        <v>2.77</v>
      </c>
      <c r="Z59">
        <v>0</v>
      </c>
      <c r="AA59" s="7">
        <v>4.1100000000000003</v>
      </c>
      <c r="AB59" s="7">
        <v>6.88</v>
      </c>
      <c r="AC59" s="7">
        <v>11.6</v>
      </c>
      <c r="AD59" s="8">
        <v>0</v>
      </c>
      <c r="AE59" s="7">
        <v>0</v>
      </c>
      <c r="AF59" s="7">
        <v>0</v>
      </c>
      <c r="AG59" t="s">
        <v>415</v>
      </c>
      <c r="AH59" s="7">
        <v>0.24</v>
      </c>
      <c r="AI59">
        <v>10</v>
      </c>
      <c r="AJ59">
        <v>9</v>
      </c>
      <c r="AK59">
        <v>1</v>
      </c>
      <c r="AL59">
        <v>4</v>
      </c>
      <c r="AM59" t="s">
        <v>173</v>
      </c>
      <c r="AN59" t="s">
        <v>416</v>
      </c>
      <c r="AO59" t="s">
        <v>413</v>
      </c>
      <c r="AP59" t="s">
        <v>417</v>
      </c>
      <c r="AQ59" t="s">
        <v>47</v>
      </c>
      <c r="AR59" s="2" t="str">
        <f>HYPERLINK("https://keepa.com/#!product/1-B09VC2PW9R", "https://keepa.com/#!product/1-B09VC2PW9R")</f>
        <v>https://keepa.com/#!product/1-B09VC2PW9R</v>
      </c>
      <c r="AS59" s="2" t="str">
        <f>HYPERLINK("https://camelcamelcamel.com/search?sq=B09VC2PW9R", "https://camelcamelcamel.com/search?sq=B09VC2PW9R")</f>
        <v>https://camelcamelcamel.com/search?sq=B09VC2PW9R</v>
      </c>
      <c r="AT59" t="s">
        <v>51</v>
      </c>
      <c r="AU59" s="9">
        <v>46261.994883226798</v>
      </c>
    </row>
    <row r="60" spans="1:47" x14ac:dyDescent="0.2">
      <c r="A60" t="s">
        <v>418</v>
      </c>
      <c r="B60" t="s">
        <v>171</v>
      </c>
      <c r="C60" t="s">
        <v>47</v>
      </c>
      <c r="D60" t="s">
        <v>419</v>
      </c>
      <c r="E60" t="s">
        <v>173</v>
      </c>
      <c r="F60" t="s">
        <v>47</v>
      </c>
      <c r="G60" t="s">
        <v>61</v>
      </c>
      <c r="H60" s="2" t="str">
        <f>HYPERLINK("https://sellercentral.amazon.com/hz/approvalrequest/restrictions/approve?asin=B09VSQFGWN", "https://sellercentral.amazon.com/hz/approvalrequest/restrictions/approve?asin=B09VSQFGWN")</f>
        <v>https://sellercentral.amazon.com/hz/approvalrequest/restrictions/approve?asin=B09VSQFGWN</v>
      </c>
      <c r="I60" t="s">
        <v>420</v>
      </c>
      <c r="J60">
        <v>1</v>
      </c>
      <c r="K60" s="2" t="str">
        <f>HYPERLINK("https://www.amazon.com/dp/B09VSQFGWN", "https://www.amazon.com/dp/B09VSQFGWN")</f>
        <v>https://www.amazon.com/dp/B09VSQFGWN</v>
      </c>
      <c r="L60" s="3">
        <v>1138</v>
      </c>
      <c r="M60" s="4">
        <v>4.1500000000000004</v>
      </c>
      <c r="N60" s="5">
        <v>0.15659999999999999</v>
      </c>
      <c r="O60" s="5">
        <v>0.28620000000000001</v>
      </c>
      <c r="P60" t="s">
        <v>49</v>
      </c>
      <c r="Q60" t="s">
        <v>50</v>
      </c>
      <c r="R60" s="6">
        <v>15774</v>
      </c>
      <c r="S60" s="7">
        <v>14.5</v>
      </c>
      <c r="T60" s="7">
        <v>21.93</v>
      </c>
      <c r="U60" s="4">
        <v>26.5</v>
      </c>
      <c r="V60" s="7">
        <v>26.5</v>
      </c>
      <c r="W60">
        <v>26.5</v>
      </c>
      <c r="X60">
        <v>30.44</v>
      </c>
      <c r="Y60" s="7">
        <v>3.98</v>
      </c>
      <c r="Z60">
        <v>0</v>
      </c>
      <c r="AA60" s="7">
        <v>3.87</v>
      </c>
      <c r="AB60" s="7">
        <v>7.85</v>
      </c>
      <c r="AC60" s="7">
        <v>18.649999999999999</v>
      </c>
      <c r="AD60" s="8">
        <v>0</v>
      </c>
      <c r="AE60" s="7">
        <v>0</v>
      </c>
      <c r="AF60" s="7">
        <v>0</v>
      </c>
      <c r="AG60" t="s">
        <v>421</v>
      </c>
      <c r="AH60" s="7">
        <v>0.18</v>
      </c>
      <c r="AI60">
        <v>5</v>
      </c>
      <c r="AJ60">
        <v>4</v>
      </c>
      <c r="AK60">
        <v>1</v>
      </c>
      <c r="AL60">
        <v>1</v>
      </c>
      <c r="AM60" t="s">
        <v>173</v>
      </c>
      <c r="AN60" t="s">
        <v>422</v>
      </c>
      <c r="AO60" t="s">
        <v>419</v>
      </c>
      <c r="AP60" t="s">
        <v>419</v>
      </c>
      <c r="AQ60" t="s">
        <v>47</v>
      </c>
      <c r="AR60" s="2" t="str">
        <f>HYPERLINK("https://keepa.com/#!product/1-B09VSQFGWN", "https://keepa.com/#!product/1-B09VSQFGWN")</f>
        <v>https://keepa.com/#!product/1-B09VSQFGWN</v>
      </c>
      <c r="AS60" s="2" t="str">
        <f>HYPERLINK("https://camelcamelcamel.com/search?sq=B09VSQFGWN", "https://camelcamelcamel.com/search?sq=B09VSQFGWN")</f>
        <v>https://camelcamelcamel.com/search?sq=B09VSQFGWN</v>
      </c>
      <c r="AT60" t="s">
        <v>51</v>
      </c>
      <c r="AU60" s="9">
        <v>46261.994883226682</v>
      </c>
    </row>
    <row r="61" spans="1:47" x14ac:dyDescent="0.2">
      <c r="A61" t="s">
        <v>423</v>
      </c>
      <c r="B61" t="s">
        <v>51</v>
      </c>
      <c r="C61" t="s">
        <v>47</v>
      </c>
      <c r="D61" t="s">
        <v>424</v>
      </c>
      <c r="E61" t="s">
        <v>197</v>
      </c>
      <c r="F61" t="s">
        <v>47</v>
      </c>
      <c r="G61" t="s">
        <v>61</v>
      </c>
      <c r="H61" s="2" t="str">
        <f>HYPERLINK("https://sellercentral.amazon.com/hz/approvalrequest/restrictions/approve?asin=B09XMKPQZH", "https://sellercentral.amazon.com/hz/approvalrequest/restrictions/approve?asin=B09XMKPQZH")</f>
        <v>https://sellercentral.amazon.com/hz/approvalrequest/restrictions/approve?asin=B09XMKPQZH</v>
      </c>
      <c r="I61" t="s">
        <v>425</v>
      </c>
      <c r="J61">
        <v>1</v>
      </c>
      <c r="K61" s="2" t="str">
        <f>HYPERLINK("https://www.amazon.com/dp/B09XMKPQZH", "https://www.amazon.com/dp/B09XMKPQZH")</f>
        <v>https://www.amazon.com/dp/B09XMKPQZH</v>
      </c>
      <c r="L61" s="11">
        <v>32</v>
      </c>
      <c r="M61" s="4">
        <v>4.57</v>
      </c>
      <c r="N61" s="5">
        <v>0.12869999999999998</v>
      </c>
      <c r="O61" s="5">
        <v>0.21260000000000001</v>
      </c>
      <c r="P61" t="s">
        <v>49</v>
      </c>
      <c r="Q61" t="s">
        <v>50</v>
      </c>
      <c r="R61" s="6">
        <v>185255</v>
      </c>
      <c r="S61" s="7">
        <v>21.5</v>
      </c>
      <c r="T61" s="7">
        <v>30.44</v>
      </c>
      <c r="U61" s="4">
        <v>35.5</v>
      </c>
      <c r="V61" s="7">
        <v>35.5</v>
      </c>
      <c r="W61">
        <v>35.5</v>
      </c>
      <c r="Y61" s="7">
        <v>5.33</v>
      </c>
      <c r="Z61">
        <v>0</v>
      </c>
      <c r="AA61" s="7">
        <v>4.0999999999999996</v>
      </c>
      <c r="AB61" s="7">
        <v>9.43</v>
      </c>
      <c r="AC61" s="7">
        <v>26.07</v>
      </c>
      <c r="AD61" s="8">
        <v>0</v>
      </c>
      <c r="AE61" s="7">
        <v>0</v>
      </c>
      <c r="AF61" s="7">
        <v>0</v>
      </c>
      <c r="AG61" t="s">
        <v>426</v>
      </c>
      <c r="AH61" s="7">
        <v>0.28999999999999998</v>
      </c>
      <c r="AI61">
        <v>1</v>
      </c>
      <c r="AJ61">
        <v>1</v>
      </c>
      <c r="AK61">
        <v>0</v>
      </c>
      <c r="AL61">
        <v>1</v>
      </c>
      <c r="AM61" t="s">
        <v>51</v>
      </c>
      <c r="AN61" t="s">
        <v>427</v>
      </c>
      <c r="AO61" t="s">
        <v>51</v>
      </c>
      <c r="AP61" t="s">
        <v>51</v>
      </c>
      <c r="AQ61" t="s">
        <v>47</v>
      </c>
      <c r="AR61" s="2" t="str">
        <f>HYPERLINK("https://keepa.com/#!product/1-B09XMKPQZH", "https://keepa.com/#!product/1-B09XMKPQZH")</f>
        <v>https://keepa.com/#!product/1-B09XMKPQZH</v>
      </c>
      <c r="AS61" s="2" t="str">
        <f>HYPERLINK("https://camelcamelcamel.com/search?sq=B09XMKPQZH", "https://camelcamelcamel.com/search?sq=B09XMKPQZH")</f>
        <v>https://camelcamelcamel.com/search?sq=B09XMKPQZH</v>
      </c>
      <c r="AT61" t="s">
        <v>51</v>
      </c>
      <c r="AU61" s="9">
        <v>46261.994883226813</v>
      </c>
    </row>
    <row r="62" spans="1:47" x14ac:dyDescent="0.2">
      <c r="A62" t="s">
        <v>428</v>
      </c>
      <c r="B62" t="s">
        <v>234</v>
      </c>
      <c r="C62" t="s">
        <v>47</v>
      </c>
      <c r="D62" t="s">
        <v>429</v>
      </c>
      <c r="E62" t="s">
        <v>173</v>
      </c>
      <c r="F62" t="s">
        <v>47</v>
      </c>
      <c r="G62" t="s">
        <v>61</v>
      </c>
      <c r="H62" s="2" t="str">
        <f>HYPERLINK("https://sellercentral.amazon.com/hz/approvalrequest/restrictions/approve?asin=B0B2RK3R85", "https://sellercentral.amazon.com/hz/approvalrequest/restrictions/approve?asin=B0B2RK3R85")</f>
        <v>https://sellercentral.amazon.com/hz/approvalrequest/restrictions/approve?asin=B0B2RK3R85</v>
      </c>
      <c r="I62" t="s">
        <v>430</v>
      </c>
      <c r="J62">
        <v>1</v>
      </c>
      <c r="K62" s="2" t="str">
        <f>HYPERLINK("https://www.amazon.com/dp/B0B2RK3R85", "https://www.amazon.com/dp/B0B2RK3R85")</f>
        <v>https://www.amazon.com/dp/B0B2RK3R85</v>
      </c>
      <c r="L62" s="3">
        <v>88</v>
      </c>
      <c r="M62" s="12">
        <v>-1.1000000000000001</v>
      </c>
      <c r="N62" s="13">
        <v>-7.9000000000000001E-2</v>
      </c>
      <c r="O62" s="13">
        <v>-0.1158</v>
      </c>
      <c r="P62" t="s">
        <v>49</v>
      </c>
      <c r="Q62" t="s">
        <v>50</v>
      </c>
      <c r="R62" s="6">
        <v>101999</v>
      </c>
      <c r="S62" s="7">
        <v>9.5</v>
      </c>
      <c r="T62" s="7">
        <v>15.55</v>
      </c>
      <c r="U62" s="12">
        <v>13.93</v>
      </c>
      <c r="V62" s="7">
        <v>13.93</v>
      </c>
      <c r="W62">
        <v>13.93</v>
      </c>
      <c r="X62">
        <v>16.989999999999998</v>
      </c>
      <c r="Y62" s="7">
        <v>2.09</v>
      </c>
      <c r="Z62">
        <v>0</v>
      </c>
      <c r="AA62" s="7">
        <v>3.44</v>
      </c>
      <c r="AB62" s="7">
        <v>5.53</v>
      </c>
      <c r="AC62" s="7">
        <v>8.4</v>
      </c>
      <c r="AD62" s="8">
        <v>0</v>
      </c>
      <c r="AE62" s="7">
        <v>0</v>
      </c>
      <c r="AF62" s="7">
        <v>0</v>
      </c>
      <c r="AG62" t="s">
        <v>431</v>
      </c>
      <c r="AH62" s="7">
        <v>7.0000000000000007E-2</v>
      </c>
      <c r="AI62">
        <v>6</v>
      </c>
      <c r="AJ62">
        <v>3</v>
      </c>
      <c r="AK62">
        <v>3</v>
      </c>
      <c r="AL62">
        <v>1</v>
      </c>
      <c r="AM62" t="s">
        <v>173</v>
      </c>
      <c r="AN62" t="s">
        <v>432</v>
      </c>
      <c r="AO62" t="s">
        <v>429</v>
      </c>
      <c r="AP62" t="s">
        <v>429</v>
      </c>
      <c r="AQ62" t="s">
        <v>47</v>
      </c>
      <c r="AR62" s="2" t="str">
        <f>HYPERLINK("https://keepa.com/#!product/1-B0B2RK3R85", "https://keepa.com/#!product/1-B0B2RK3R85")</f>
        <v>https://keepa.com/#!product/1-B0B2RK3R85</v>
      </c>
      <c r="AS62" s="2" t="str">
        <f>HYPERLINK("https://camelcamelcamel.com/search?sq=B0B2RK3R85", "https://camelcamelcamel.com/search?sq=B0B2RK3R85")</f>
        <v>https://camelcamelcamel.com/search?sq=B0B2RK3R85</v>
      </c>
      <c r="AT62" t="s">
        <v>51</v>
      </c>
      <c r="AU62" s="9">
        <v>46261.994883226704</v>
      </c>
    </row>
    <row r="63" spans="1:47" x14ac:dyDescent="0.2">
      <c r="A63" t="s">
        <v>433</v>
      </c>
      <c r="B63" t="s">
        <v>434</v>
      </c>
      <c r="C63" t="s">
        <v>47</v>
      </c>
      <c r="D63" t="s">
        <v>435</v>
      </c>
      <c r="E63" t="s">
        <v>436</v>
      </c>
      <c r="F63" t="s">
        <v>47</v>
      </c>
      <c r="G63" t="s">
        <v>48</v>
      </c>
      <c r="I63" t="s">
        <v>437</v>
      </c>
      <c r="J63">
        <v>1</v>
      </c>
      <c r="K63" s="2" t="str">
        <f>HYPERLINK("https://www.amazon.com/dp/B0B4GC8Z35", "https://www.amazon.com/dp/B0B4GC8Z35")</f>
        <v>https://www.amazon.com/dp/B0B4GC8Z35</v>
      </c>
      <c r="L63" s="3">
        <v>180</v>
      </c>
      <c r="M63" s="4">
        <v>5.67</v>
      </c>
      <c r="N63" s="5">
        <v>0.10310000000000001</v>
      </c>
      <c r="O63" s="5">
        <v>0.1575</v>
      </c>
      <c r="P63" t="s">
        <v>49</v>
      </c>
      <c r="Q63" t="s">
        <v>50</v>
      </c>
      <c r="R63" s="6">
        <v>65072</v>
      </c>
      <c r="S63" s="7">
        <v>36</v>
      </c>
      <c r="T63" s="7">
        <v>48.33</v>
      </c>
      <c r="U63" s="4">
        <v>55</v>
      </c>
      <c r="V63" s="7">
        <v>55</v>
      </c>
      <c r="W63">
        <v>55</v>
      </c>
      <c r="Y63" s="7">
        <v>8.25</v>
      </c>
      <c r="Z63">
        <v>0</v>
      </c>
      <c r="AA63" s="7">
        <v>5.08</v>
      </c>
      <c r="AB63" s="7">
        <v>13.33</v>
      </c>
      <c r="AC63" s="7">
        <v>41.67</v>
      </c>
      <c r="AD63" s="8">
        <v>0</v>
      </c>
      <c r="AE63" s="7">
        <v>0</v>
      </c>
      <c r="AF63" s="7">
        <v>0</v>
      </c>
      <c r="AG63" t="s">
        <v>438</v>
      </c>
      <c r="AH63" s="7">
        <v>0.46</v>
      </c>
      <c r="AI63">
        <v>1</v>
      </c>
      <c r="AJ63">
        <v>1</v>
      </c>
      <c r="AK63">
        <v>0</v>
      </c>
      <c r="AL63">
        <v>1</v>
      </c>
      <c r="AM63" t="s">
        <v>439</v>
      </c>
      <c r="AN63" t="s">
        <v>162</v>
      </c>
      <c r="AO63" t="s">
        <v>435</v>
      </c>
      <c r="AP63" t="s">
        <v>435</v>
      </c>
      <c r="AQ63" t="s">
        <v>47</v>
      </c>
      <c r="AR63" s="2" t="str">
        <f>HYPERLINK("https://keepa.com/#!product/1-B0B4GC8Z35", "https://keepa.com/#!product/1-B0B4GC8Z35")</f>
        <v>https://keepa.com/#!product/1-B0B4GC8Z35</v>
      </c>
      <c r="AS63" s="2" t="str">
        <f>HYPERLINK("https://camelcamelcamel.com/search?sq=B0B4GC8Z35", "https://camelcamelcamel.com/search?sq=B0B4GC8Z35")</f>
        <v>https://camelcamelcamel.com/search?sq=B0B4GC8Z35</v>
      </c>
      <c r="AT63" t="s">
        <v>51</v>
      </c>
      <c r="AU63" s="9">
        <v>46261.994883226726</v>
      </c>
    </row>
    <row r="64" spans="1:47" x14ac:dyDescent="0.2">
      <c r="A64" t="s">
        <v>440</v>
      </c>
      <c r="B64" t="s">
        <v>441</v>
      </c>
      <c r="C64" t="s">
        <v>47</v>
      </c>
      <c r="D64" t="s">
        <v>442</v>
      </c>
      <c r="E64" t="s">
        <v>443</v>
      </c>
      <c r="F64" t="s">
        <v>49</v>
      </c>
      <c r="G64" t="s">
        <v>48</v>
      </c>
      <c r="I64" t="s">
        <v>444</v>
      </c>
      <c r="J64">
        <v>1</v>
      </c>
      <c r="K64" s="2" t="str">
        <f>HYPERLINK("https://www.amazon.com/dp/B0B9T5CDQJ", "https://www.amazon.com/dp/B0B9T5CDQJ")</f>
        <v>https://www.amazon.com/dp/B0B9T5CDQJ</v>
      </c>
      <c r="L64" s="3">
        <v>812</v>
      </c>
      <c r="P64" t="s">
        <v>49</v>
      </c>
      <c r="Q64" t="s">
        <v>50</v>
      </c>
      <c r="R64" s="6">
        <v>21104</v>
      </c>
      <c r="S64" s="7">
        <v>33</v>
      </c>
      <c r="Z64">
        <v>0</v>
      </c>
      <c r="AF64" s="7">
        <v>0</v>
      </c>
      <c r="AG64" t="s">
        <v>445</v>
      </c>
      <c r="AH64" s="7">
        <v>0.31</v>
      </c>
      <c r="AI64">
        <v>0</v>
      </c>
      <c r="AJ64">
        <v>0</v>
      </c>
      <c r="AK64">
        <v>0</v>
      </c>
      <c r="AL64">
        <v>0</v>
      </c>
      <c r="AM64" t="s">
        <v>443</v>
      </c>
      <c r="AN64" t="s">
        <v>446</v>
      </c>
      <c r="AO64" t="s">
        <v>442</v>
      </c>
      <c r="AP64" t="s">
        <v>442</v>
      </c>
      <c r="AQ64" t="s">
        <v>47</v>
      </c>
      <c r="AR64" s="2" t="str">
        <f>HYPERLINK("https://keepa.com/#!product/1-B0B9T5CDQJ", "https://keepa.com/#!product/1-B0B9T5CDQJ")</f>
        <v>https://keepa.com/#!product/1-B0B9T5CDQJ</v>
      </c>
      <c r="AS64" s="2" t="str">
        <f>HYPERLINK("https://camelcamelcamel.com/search?sq=B0B9T5CDQJ", "https://camelcamelcamel.com/search?sq=B0B9T5CDQJ")</f>
        <v>https://camelcamelcamel.com/search?sq=B0B9T5CDQJ</v>
      </c>
      <c r="AT64" t="s">
        <v>51</v>
      </c>
      <c r="AU64" s="9">
        <v>46261.994883226762</v>
      </c>
    </row>
    <row r="65" spans="1:47" x14ac:dyDescent="0.2">
      <c r="A65" t="s">
        <v>447</v>
      </c>
      <c r="B65" t="s">
        <v>448</v>
      </c>
      <c r="C65" t="s">
        <v>47</v>
      </c>
      <c r="D65" t="s">
        <v>449</v>
      </c>
      <c r="E65" t="s">
        <v>450</v>
      </c>
      <c r="F65" t="s">
        <v>47</v>
      </c>
      <c r="G65" t="s">
        <v>61</v>
      </c>
      <c r="H65" s="2" t="str">
        <f>HYPERLINK("https://sellercentral.amazon.com/hz/approvalrequest/restrictions/approve?asin=B0BBQ92XNF", "https://sellercentral.amazon.com/hz/approvalrequest/restrictions/approve?asin=B0BBQ92XNF")</f>
        <v>https://sellercentral.amazon.com/hz/approvalrequest/restrictions/approve?asin=B0BBQ92XNF</v>
      </c>
      <c r="I65" t="s">
        <v>451</v>
      </c>
      <c r="J65">
        <v>1</v>
      </c>
      <c r="K65" s="2" t="str">
        <f>HYPERLINK("https://www.amazon.com/dp/B0BBQ92XNF", "https://www.amazon.com/dp/B0BBQ92XNF")</f>
        <v>https://www.amazon.com/dp/B0BBQ92XNF</v>
      </c>
      <c r="L65" s="3">
        <v>182</v>
      </c>
      <c r="M65" s="4">
        <v>6.17</v>
      </c>
      <c r="N65" s="5">
        <v>0.14130000000000001</v>
      </c>
      <c r="O65" s="5">
        <v>0.22769999999999999</v>
      </c>
      <c r="P65" t="s">
        <v>49</v>
      </c>
      <c r="Q65" t="s">
        <v>50</v>
      </c>
      <c r="R65" s="6">
        <v>63852</v>
      </c>
      <c r="S65" s="7">
        <v>27.1</v>
      </c>
      <c r="T65" s="7">
        <v>36.75</v>
      </c>
      <c r="U65" s="4">
        <v>43.68</v>
      </c>
      <c r="V65" s="7">
        <v>43.68</v>
      </c>
      <c r="W65">
        <v>43.68</v>
      </c>
      <c r="X65">
        <v>62.89</v>
      </c>
      <c r="Y65" s="7">
        <v>6.55</v>
      </c>
      <c r="Z65">
        <v>0</v>
      </c>
      <c r="AA65" s="7">
        <v>3.86</v>
      </c>
      <c r="AB65" s="7">
        <v>10.41</v>
      </c>
      <c r="AC65" s="7">
        <v>33.270000000000003</v>
      </c>
      <c r="AD65" s="8">
        <v>0</v>
      </c>
      <c r="AE65" s="7">
        <v>0</v>
      </c>
      <c r="AF65" s="7">
        <v>0</v>
      </c>
      <c r="AG65" t="s">
        <v>452</v>
      </c>
      <c r="AH65" s="7">
        <v>0.18</v>
      </c>
      <c r="AI65">
        <v>10</v>
      </c>
      <c r="AJ65">
        <v>9</v>
      </c>
      <c r="AK65">
        <v>1</v>
      </c>
      <c r="AL65">
        <v>2</v>
      </c>
      <c r="AM65" t="s">
        <v>51</v>
      </c>
      <c r="AN65" t="s">
        <v>51</v>
      </c>
      <c r="AO65" t="s">
        <v>51</v>
      </c>
      <c r="AP65" t="s">
        <v>51</v>
      </c>
      <c r="AQ65" t="s">
        <v>47</v>
      </c>
      <c r="AR65" s="2" t="str">
        <f>HYPERLINK("https://keepa.com/#!product/1-B0BBQ92XNF", "https://keepa.com/#!product/1-B0BBQ92XNF")</f>
        <v>https://keepa.com/#!product/1-B0BBQ92XNF</v>
      </c>
      <c r="AS65" s="2" t="str">
        <f>HYPERLINK("https://camelcamelcamel.com/search?sq=B0BBQ92XNF", "https://camelcamelcamel.com/search?sq=B0BBQ92XNF")</f>
        <v>https://camelcamelcamel.com/search?sq=B0BBQ92XNF</v>
      </c>
      <c r="AT65" t="s">
        <v>51</v>
      </c>
      <c r="AU65" s="9">
        <v>46261.994883226798</v>
      </c>
    </row>
    <row r="66" spans="1:47" x14ac:dyDescent="0.2">
      <c r="A66" t="s">
        <v>453</v>
      </c>
      <c r="B66" t="s">
        <v>454</v>
      </c>
      <c r="C66" t="s">
        <v>47</v>
      </c>
      <c r="D66" t="s">
        <v>455</v>
      </c>
      <c r="E66" t="s">
        <v>173</v>
      </c>
      <c r="F66" t="s">
        <v>47</v>
      </c>
      <c r="G66" t="s">
        <v>61</v>
      </c>
      <c r="H66" s="2" t="str">
        <f>HYPERLINK("https://sellercentral.amazon.com/hz/approvalrequest/restrictions/approve?asin=B0BGL3B1RT", "https://sellercentral.amazon.com/hz/approvalrequest/restrictions/approve?asin=B0BGL3B1RT")</f>
        <v>https://sellercentral.amazon.com/hz/approvalrequest/restrictions/approve?asin=B0BGL3B1RT</v>
      </c>
      <c r="I66" t="s">
        <v>456</v>
      </c>
      <c r="J66">
        <v>1</v>
      </c>
      <c r="K66" s="2" t="str">
        <f>HYPERLINK("https://www.amazon.com/dp/B0BGL3B1RT", "https://www.amazon.com/dp/B0BGL3B1RT")</f>
        <v>https://www.amazon.com/dp/B0BGL3B1RT</v>
      </c>
      <c r="L66" s="3">
        <v>750</v>
      </c>
      <c r="M66" s="14">
        <v>1.1399999999999999</v>
      </c>
      <c r="N66" s="5">
        <v>7.1300000000000002E-2</v>
      </c>
      <c r="O66" s="5">
        <v>0.12670000000000001</v>
      </c>
      <c r="P66" t="s">
        <v>49</v>
      </c>
      <c r="Q66" t="s">
        <v>50</v>
      </c>
      <c r="R66" s="6">
        <v>22539</v>
      </c>
      <c r="S66" s="7">
        <v>9</v>
      </c>
      <c r="T66" s="7">
        <v>14.96</v>
      </c>
      <c r="U66" s="4">
        <v>15.98</v>
      </c>
      <c r="V66" s="7">
        <v>15.98</v>
      </c>
      <c r="W66">
        <v>15.49</v>
      </c>
      <c r="Y66" s="7">
        <v>2.4</v>
      </c>
      <c r="Z66">
        <v>0</v>
      </c>
      <c r="AA66" s="7">
        <v>3.44</v>
      </c>
      <c r="AB66" s="7">
        <v>5.84</v>
      </c>
      <c r="AC66" s="7">
        <v>10.14</v>
      </c>
      <c r="AD66" s="8">
        <v>0</v>
      </c>
      <c r="AE66" s="7">
        <v>0</v>
      </c>
      <c r="AF66" s="7">
        <v>0</v>
      </c>
      <c r="AG66" t="s">
        <v>457</v>
      </c>
      <c r="AH66" s="7">
        <v>0.08</v>
      </c>
      <c r="AI66">
        <v>4</v>
      </c>
      <c r="AJ66">
        <v>4</v>
      </c>
      <c r="AK66">
        <v>0</v>
      </c>
      <c r="AL66">
        <v>4</v>
      </c>
      <c r="AM66" t="s">
        <v>458</v>
      </c>
      <c r="AN66" t="s">
        <v>459</v>
      </c>
      <c r="AO66" t="s">
        <v>455</v>
      </c>
      <c r="AP66" t="s">
        <v>455</v>
      </c>
      <c r="AQ66" t="s">
        <v>47</v>
      </c>
      <c r="AR66" s="2" t="str">
        <f>HYPERLINK("https://keepa.com/#!product/1-B0BGL3B1RT", "https://keepa.com/#!product/1-B0BGL3B1RT")</f>
        <v>https://keepa.com/#!product/1-B0BGL3B1RT</v>
      </c>
      <c r="AS66" s="2" t="str">
        <f>HYPERLINK("https://camelcamelcamel.com/search?sq=B0BGL3B1RT", "https://camelcamelcamel.com/search?sq=B0BGL3B1RT")</f>
        <v>https://camelcamelcamel.com/search?sq=B0BGL3B1RT</v>
      </c>
      <c r="AT66" t="s">
        <v>51</v>
      </c>
      <c r="AU66" s="9">
        <v>46261.994883226704</v>
      </c>
    </row>
    <row r="67" spans="1:47" x14ac:dyDescent="0.2">
      <c r="A67" t="s">
        <v>460</v>
      </c>
      <c r="B67" t="s">
        <v>461</v>
      </c>
      <c r="C67" t="s">
        <v>47</v>
      </c>
      <c r="D67" t="s">
        <v>462</v>
      </c>
      <c r="E67" t="s">
        <v>443</v>
      </c>
      <c r="F67" t="s">
        <v>49</v>
      </c>
      <c r="G67" t="s">
        <v>48</v>
      </c>
      <c r="I67" t="s">
        <v>463</v>
      </c>
      <c r="J67">
        <v>1</v>
      </c>
      <c r="K67" s="2" t="str">
        <f>HYPERLINK("https://www.amazon.com/dp/B0BLHR75SC", "https://www.amazon.com/dp/B0BLHR75SC")</f>
        <v>https://www.amazon.com/dp/B0BLHR75SC</v>
      </c>
      <c r="L67" s="10">
        <v>5</v>
      </c>
      <c r="M67" s="4">
        <v>23.04</v>
      </c>
      <c r="N67" s="5">
        <v>0.41889999999999999</v>
      </c>
      <c r="O67" s="5">
        <v>1.1520000000000001</v>
      </c>
      <c r="P67" t="s">
        <v>49</v>
      </c>
      <c r="Q67" t="s">
        <v>50</v>
      </c>
      <c r="R67" s="6">
        <v>296522</v>
      </c>
      <c r="S67" s="7">
        <v>20</v>
      </c>
      <c r="T67" s="7">
        <v>27.9</v>
      </c>
      <c r="U67" s="4">
        <v>55</v>
      </c>
      <c r="V67" s="7">
        <v>55</v>
      </c>
      <c r="X67">
        <v>55</v>
      </c>
      <c r="Y67" s="7">
        <v>8.25</v>
      </c>
      <c r="Z67">
        <v>0</v>
      </c>
      <c r="AA67" s="7">
        <v>3.71</v>
      </c>
      <c r="AB67" s="7">
        <v>11.96</v>
      </c>
      <c r="AC67" s="7">
        <v>43.04</v>
      </c>
      <c r="AD67" s="8">
        <v>0</v>
      </c>
      <c r="AE67" s="7">
        <v>0</v>
      </c>
      <c r="AF67" s="7">
        <v>0</v>
      </c>
      <c r="AG67" t="s">
        <v>464</v>
      </c>
      <c r="AH67" s="7">
        <v>7.0000000000000007E-2</v>
      </c>
      <c r="AI67">
        <v>1</v>
      </c>
      <c r="AJ67">
        <v>0</v>
      </c>
      <c r="AK67">
        <v>1</v>
      </c>
      <c r="AL67">
        <v>1</v>
      </c>
      <c r="AM67" t="s">
        <v>443</v>
      </c>
      <c r="AN67" t="s">
        <v>465</v>
      </c>
      <c r="AO67" t="s">
        <v>466</v>
      </c>
      <c r="AP67" t="s">
        <v>466</v>
      </c>
      <c r="AQ67" t="s">
        <v>47</v>
      </c>
      <c r="AR67" s="2" t="str">
        <f>HYPERLINK("https://keepa.com/#!product/1-B0BLHR75SC", "https://keepa.com/#!product/1-B0BLHR75SC")</f>
        <v>https://keepa.com/#!product/1-B0BLHR75SC</v>
      </c>
      <c r="AS67" s="2" t="str">
        <f>HYPERLINK("https://camelcamelcamel.com/search?sq=B0BLHR75SC", "https://camelcamelcamel.com/search?sq=B0BLHR75SC")</f>
        <v>https://camelcamelcamel.com/search?sq=B0BLHR75SC</v>
      </c>
      <c r="AT67" t="s">
        <v>51</v>
      </c>
      <c r="AU67" s="9">
        <v>46261.994883226747</v>
      </c>
    </row>
    <row r="68" spans="1:47" x14ac:dyDescent="0.2">
      <c r="A68" t="s">
        <v>467</v>
      </c>
      <c r="B68" t="s">
        <v>51</v>
      </c>
      <c r="C68" t="s">
        <v>47</v>
      </c>
      <c r="D68" t="s">
        <v>468</v>
      </c>
      <c r="E68" t="s">
        <v>469</v>
      </c>
      <c r="F68" t="s">
        <v>47</v>
      </c>
      <c r="G68" t="s">
        <v>61</v>
      </c>
      <c r="H68" s="2" t="str">
        <f>HYPERLINK("https://sellercentral.amazon.com/hz/approvalrequest/restrictions/approve?asin=B0BS6418PM", "https://sellercentral.amazon.com/hz/approvalrequest/restrictions/approve?asin=B0BS6418PM")</f>
        <v>https://sellercentral.amazon.com/hz/approvalrequest/restrictions/approve?asin=B0BS6418PM</v>
      </c>
      <c r="I68" t="s">
        <v>470</v>
      </c>
      <c r="J68">
        <v>1</v>
      </c>
      <c r="K68" s="2" t="str">
        <f>HYPERLINK("https://www.amazon.com/dp/B0BS6418PM", "https://www.amazon.com/dp/B0BS6418PM")</f>
        <v>https://www.amazon.com/dp/B0BS6418PM</v>
      </c>
      <c r="L68" s="10">
        <v>5</v>
      </c>
      <c r="P68" t="s">
        <v>47</v>
      </c>
      <c r="Q68" t="s">
        <v>471</v>
      </c>
      <c r="S68" s="7">
        <v>16.5</v>
      </c>
      <c r="Z68">
        <v>0</v>
      </c>
      <c r="AF68" s="7">
        <v>0</v>
      </c>
      <c r="AG68" t="s">
        <v>472</v>
      </c>
      <c r="AH68" s="7">
        <v>0.88</v>
      </c>
      <c r="AI68">
        <v>0</v>
      </c>
      <c r="AJ68">
        <v>0</v>
      </c>
      <c r="AK68">
        <v>0</v>
      </c>
      <c r="AL68">
        <v>0</v>
      </c>
      <c r="AM68" t="s">
        <v>473</v>
      </c>
      <c r="AN68" t="s">
        <v>64</v>
      </c>
      <c r="AO68" t="s">
        <v>51</v>
      </c>
      <c r="AP68" t="s">
        <v>474</v>
      </c>
      <c r="AQ68" t="s">
        <v>47</v>
      </c>
      <c r="AR68" s="2" t="str">
        <f>HYPERLINK("https://keepa.com/#!product/1-B0BS6418PM", "https://keepa.com/#!product/1-B0BS6418PM")</f>
        <v>https://keepa.com/#!product/1-B0BS6418PM</v>
      </c>
      <c r="AS68" s="2" t="str">
        <f>HYPERLINK("https://camelcamelcamel.com/search?sq=B0BS6418PM", "https://camelcamelcamel.com/search?sq=B0BS6418PM")</f>
        <v>https://camelcamelcamel.com/search?sq=B0BS6418PM</v>
      </c>
      <c r="AT68" t="s">
        <v>51</v>
      </c>
      <c r="AU68" s="9">
        <v>46261.994883226631</v>
      </c>
    </row>
    <row r="69" spans="1:47" x14ac:dyDescent="0.2">
      <c r="A69" t="s">
        <v>475</v>
      </c>
      <c r="B69" t="s">
        <v>476</v>
      </c>
      <c r="C69" t="s">
        <v>47</v>
      </c>
      <c r="D69" t="s">
        <v>477</v>
      </c>
      <c r="E69" t="s">
        <v>443</v>
      </c>
      <c r="F69" t="s">
        <v>49</v>
      </c>
      <c r="G69" t="s">
        <v>48</v>
      </c>
      <c r="I69" t="s">
        <v>478</v>
      </c>
      <c r="J69">
        <v>1</v>
      </c>
      <c r="K69" s="2" t="str">
        <f>HYPERLINK("https://www.amazon.com/dp/B0BT23GN3B", "https://www.amazon.com/dp/B0BT23GN3B")</f>
        <v>https://www.amazon.com/dp/B0BT23GN3B</v>
      </c>
      <c r="L69" s="11">
        <v>41</v>
      </c>
      <c r="P69" t="s">
        <v>49</v>
      </c>
      <c r="Q69" t="s">
        <v>50</v>
      </c>
      <c r="R69" s="6">
        <v>158904</v>
      </c>
      <c r="S69" s="7">
        <v>15</v>
      </c>
      <c r="Z69">
        <v>0</v>
      </c>
      <c r="AF69" s="7">
        <v>0</v>
      </c>
      <c r="AG69" t="s">
        <v>479</v>
      </c>
      <c r="AH69" s="7">
        <v>7.0000000000000007E-2</v>
      </c>
      <c r="AI69">
        <v>0</v>
      </c>
      <c r="AJ69">
        <v>0</v>
      </c>
      <c r="AK69">
        <v>0</v>
      </c>
      <c r="AL69">
        <v>0</v>
      </c>
      <c r="AM69" t="s">
        <v>443</v>
      </c>
      <c r="AN69" t="s">
        <v>480</v>
      </c>
      <c r="AO69" t="s">
        <v>51</v>
      </c>
      <c r="AP69" t="s">
        <v>477</v>
      </c>
      <c r="AQ69" t="s">
        <v>47</v>
      </c>
      <c r="AR69" s="2" t="str">
        <f>HYPERLINK("https://keepa.com/#!product/1-B0BT23GN3B", "https://keepa.com/#!product/1-B0BT23GN3B")</f>
        <v>https://keepa.com/#!product/1-B0BT23GN3B</v>
      </c>
      <c r="AS69" s="2" t="str">
        <f>HYPERLINK("https://camelcamelcamel.com/search?sq=B0BT23GN3B", "https://camelcamelcamel.com/search?sq=B0BT23GN3B")</f>
        <v>https://camelcamelcamel.com/search?sq=B0BT23GN3B</v>
      </c>
      <c r="AT69" t="s">
        <v>51</v>
      </c>
      <c r="AU69" s="9">
        <v>46261.994883226747</v>
      </c>
    </row>
    <row r="70" spans="1:47" x14ac:dyDescent="0.2">
      <c r="A70" t="s">
        <v>481</v>
      </c>
      <c r="B70" t="s">
        <v>482</v>
      </c>
      <c r="C70" t="s">
        <v>47</v>
      </c>
      <c r="D70" t="s">
        <v>483</v>
      </c>
      <c r="E70" t="s">
        <v>484</v>
      </c>
      <c r="F70" t="s">
        <v>47</v>
      </c>
      <c r="G70" t="s">
        <v>61</v>
      </c>
      <c r="H70" s="2" t="str">
        <f>HYPERLINK("https://sellercentral.amazon.com/hz/approvalrequest/restrictions/approve?asin=B0BTDKRVWT", "https://sellercentral.amazon.com/hz/approvalrequest/restrictions/approve?asin=B0BTDKRVWT")</f>
        <v>https://sellercentral.amazon.com/hz/approvalrequest/restrictions/approve?asin=B0BTDKRVWT</v>
      </c>
      <c r="I70" t="s">
        <v>485</v>
      </c>
      <c r="J70">
        <v>1</v>
      </c>
      <c r="K70" s="2" t="str">
        <f>HYPERLINK("https://www.amazon.com/dp/B0BTDKRVWT", "https://www.amazon.com/dp/B0BTDKRVWT")</f>
        <v>https://www.amazon.com/dp/B0BTDKRVWT</v>
      </c>
      <c r="L70" s="3">
        <v>104</v>
      </c>
      <c r="M70" s="12">
        <v>-0.22</v>
      </c>
      <c r="N70" s="13">
        <v>-1.1599999999999999E-2</v>
      </c>
      <c r="O70" s="13">
        <v>-1.7600000000000001E-2</v>
      </c>
      <c r="P70" t="s">
        <v>49</v>
      </c>
      <c r="Q70" t="s">
        <v>50</v>
      </c>
      <c r="R70" s="6">
        <v>92794</v>
      </c>
      <c r="S70" s="7">
        <v>12.5</v>
      </c>
      <c r="T70" s="7">
        <v>19.57</v>
      </c>
      <c r="U70" s="12">
        <v>18.989999999999998</v>
      </c>
      <c r="V70" s="7">
        <v>18.989999999999998</v>
      </c>
      <c r="W70">
        <v>18.989999999999998</v>
      </c>
      <c r="Y70" s="7">
        <v>2.85</v>
      </c>
      <c r="Z70">
        <v>0</v>
      </c>
      <c r="AA70" s="7">
        <v>3.86</v>
      </c>
      <c r="AB70" s="7">
        <v>6.71</v>
      </c>
      <c r="AC70" s="7">
        <v>12.28</v>
      </c>
      <c r="AD70" s="8">
        <v>0</v>
      </c>
      <c r="AE70" s="7">
        <v>0</v>
      </c>
      <c r="AF70" s="7">
        <v>0</v>
      </c>
      <c r="AG70" t="s">
        <v>486</v>
      </c>
      <c r="AH70" s="7">
        <v>7.0000000000000007E-2</v>
      </c>
      <c r="AI70">
        <v>2</v>
      </c>
      <c r="AJ70">
        <v>2</v>
      </c>
      <c r="AK70">
        <v>0</v>
      </c>
      <c r="AL70">
        <v>2</v>
      </c>
      <c r="AM70" t="s">
        <v>487</v>
      </c>
      <c r="AN70" t="s">
        <v>488</v>
      </c>
      <c r="AO70" t="s">
        <v>51</v>
      </c>
      <c r="AP70" t="s">
        <v>489</v>
      </c>
      <c r="AQ70" t="s">
        <v>47</v>
      </c>
      <c r="AR70" s="2" t="str">
        <f>HYPERLINK("https://keepa.com/#!product/1-B0BTDKRVWT", "https://keepa.com/#!product/1-B0BTDKRVWT")</f>
        <v>https://keepa.com/#!product/1-B0BTDKRVWT</v>
      </c>
      <c r="AS70" s="2" t="str">
        <f>HYPERLINK("https://camelcamelcamel.com/search?sq=B0BTDKRVWT", "https://camelcamelcamel.com/search?sq=B0BTDKRVWT")</f>
        <v>https://camelcamelcamel.com/search?sq=B0BTDKRVWT</v>
      </c>
      <c r="AT70" t="s">
        <v>51</v>
      </c>
      <c r="AU70" s="9">
        <v>46261.994883226682</v>
      </c>
    </row>
    <row r="71" spans="1:47" x14ac:dyDescent="0.2">
      <c r="A71" t="s">
        <v>490</v>
      </c>
      <c r="B71" t="s">
        <v>482</v>
      </c>
      <c r="C71" t="s">
        <v>47</v>
      </c>
      <c r="D71" t="s">
        <v>491</v>
      </c>
      <c r="E71" t="s">
        <v>484</v>
      </c>
      <c r="F71" t="s">
        <v>47</v>
      </c>
      <c r="G71" t="s">
        <v>61</v>
      </c>
      <c r="H71" s="2" t="str">
        <f>HYPERLINK("https://sellercentral.amazon.com/hz/approvalrequest/restrictions/approve?asin=B0BTDLS45G", "https://sellercentral.amazon.com/hz/approvalrequest/restrictions/approve?asin=B0BTDLS45G")</f>
        <v>https://sellercentral.amazon.com/hz/approvalrequest/restrictions/approve?asin=B0BTDLS45G</v>
      </c>
      <c r="I71" t="s">
        <v>492</v>
      </c>
      <c r="J71">
        <v>1</v>
      </c>
      <c r="K71" s="2" t="str">
        <f>HYPERLINK("https://www.amazon.com/dp/B0BTDLS45G", "https://www.amazon.com/dp/B0BTDLS45G")</f>
        <v>https://www.amazon.com/dp/B0BTDLS45G</v>
      </c>
      <c r="L71" s="3">
        <v>104</v>
      </c>
      <c r="M71" s="12">
        <v>-0.22</v>
      </c>
      <c r="N71" s="13">
        <v>-1.1599999999999999E-2</v>
      </c>
      <c r="O71" s="13">
        <v>-1.7600000000000001E-2</v>
      </c>
      <c r="P71" t="s">
        <v>49</v>
      </c>
      <c r="Q71" t="s">
        <v>50</v>
      </c>
      <c r="R71" s="6">
        <v>92797</v>
      </c>
      <c r="S71" s="7">
        <v>12.5</v>
      </c>
      <c r="T71" s="7">
        <v>19.57</v>
      </c>
      <c r="U71" s="12">
        <v>18.989999999999998</v>
      </c>
      <c r="V71" s="7">
        <v>18.989999999999998</v>
      </c>
      <c r="W71">
        <v>18.989999999999998</v>
      </c>
      <c r="Y71" s="7">
        <v>2.85</v>
      </c>
      <c r="Z71">
        <v>0</v>
      </c>
      <c r="AA71" s="7">
        <v>3.86</v>
      </c>
      <c r="AB71" s="7">
        <v>6.71</v>
      </c>
      <c r="AC71" s="7">
        <v>12.28</v>
      </c>
      <c r="AD71" s="8">
        <v>0</v>
      </c>
      <c r="AE71" s="7">
        <v>0</v>
      </c>
      <c r="AF71" s="7">
        <v>0</v>
      </c>
      <c r="AG71" t="s">
        <v>493</v>
      </c>
      <c r="AH71" s="7">
        <v>7.0000000000000007E-2</v>
      </c>
      <c r="AI71">
        <v>2</v>
      </c>
      <c r="AJ71">
        <v>2</v>
      </c>
      <c r="AK71">
        <v>0</v>
      </c>
      <c r="AL71">
        <v>2</v>
      </c>
      <c r="AM71" t="s">
        <v>487</v>
      </c>
      <c r="AN71" t="s">
        <v>494</v>
      </c>
      <c r="AO71" t="s">
        <v>489</v>
      </c>
      <c r="AP71" t="s">
        <v>489</v>
      </c>
      <c r="AQ71" t="s">
        <v>47</v>
      </c>
      <c r="AR71" s="2" t="str">
        <f>HYPERLINK("https://keepa.com/#!product/1-B0BTDLS45G", "https://keepa.com/#!product/1-B0BTDLS45G")</f>
        <v>https://keepa.com/#!product/1-B0BTDLS45G</v>
      </c>
      <c r="AS71" s="2" t="str">
        <f>HYPERLINK("https://camelcamelcamel.com/search?sq=B0BTDLS45G", "https://camelcamelcamel.com/search?sq=B0BTDLS45G")</f>
        <v>https://camelcamelcamel.com/search?sq=B0BTDLS45G</v>
      </c>
      <c r="AT71" t="s">
        <v>51</v>
      </c>
      <c r="AU71" s="9">
        <v>46261.994883226682</v>
      </c>
    </row>
    <row r="72" spans="1:47" x14ac:dyDescent="0.2">
      <c r="A72" t="s">
        <v>495</v>
      </c>
      <c r="B72" t="s">
        <v>51</v>
      </c>
      <c r="C72" t="s">
        <v>47</v>
      </c>
      <c r="D72" t="s">
        <v>496</v>
      </c>
      <c r="E72" t="s">
        <v>450</v>
      </c>
      <c r="F72" t="s">
        <v>47</v>
      </c>
      <c r="G72" t="s">
        <v>61</v>
      </c>
      <c r="H72" s="2" t="str">
        <f>HYPERLINK("https://sellercentral.amazon.com/hz/approvalrequest/restrictions/approve?asin=B0C15VLYPC", "https://sellercentral.amazon.com/hz/approvalrequest/restrictions/approve?asin=B0C15VLYPC")</f>
        <v>https://sellercentral.amazon.com/hz/approvalrequest/restrictions/approve?asin=B0C15VLYPC</v>
      </c>
      <c r="I72" t="s">
        <v>497</v>
      </c>
      <c r="J72">
        <v>1</v>
      </c>
      <c r="K72" s="2" t="str">
        <f>HYPERLINK("https://www.amazon.com/dp/B0C15VLYPC", "https://www.amazon.com/dp/B0C15VLYPC")</f>
        <v>https://www.amazon.com/dp/B0C15VLYPC</v>
      </c>
      <c r="L72" s="11">
        <v>29</v>
      </c>
      <c r="M72" s="4">
        <v>11.12</v>
      </c>
      <c r="N72" s="5">
        <v>0.20219999999999999</v>
      </c>
      <c r="O72" s="5">
        <v>0.35299999999999998</v>
      </c>
      <c r="P72" t="s">
        <v>49</v>
      </c>
      <c r="Q72" t="s">
        <v>50</v>
      </c>
      <c r="R72" s="6">
        <v>193182</v>
      </c>
      <c r="S72" s="7">
        <v>31.5</v>
      </c>
      <c r="T72" s="7">
        <v>41.92</v>
      </c>
      <c r="U72" s="4">
        <v>55</v>
      </c>
      <c r="V72" s="7">
        <v>55</v>
      </c>
      <c r="W72">
        <v>58</v>
      </c>
      <c r="X72">
        <v>55</v>
      </c>
      <c r="Y72" s="7">
        <v>8.25</v>
      </c>
      <c r="Z72">
        <v>0</v>
      </c>
      <c r="AA72" s="7">
        <v>4.13</v>
      </c>
      <c r="AB72" s="7">
        <v>12.38</v>
      </c>
      <c r="AC72" s="7">
        <v>42.62</v>
      </c>
      <c r="AD72" s="8">
        <v>0</v>
      </c>
      <c r="AE72" s="7">
        <v>0</v>
      </c>
      <c r="AF72" s="7">
        <v>0</v>
      </c>
      <c r="AG72" t="s">
        <v>498</v>
      </c>
      <c r="AH72" s="7">
        <v>0.2</v>
      </c>
      <c r="AI72">
        <v>2</v>
      </c>
      <c r="AJ72">
        <v>1</v>
      </c>
      <c r="AK72">
        <v>1</v>
      </c>
      <c r="AL72">
        <v>1</v>
      </c>
      <c r="AM72" t="s">
        <v>51</v>
      </c>
      <c r="AN72" t="s">
        <v>51</v>
      </c>
      <c r="AO72" t="s">
        <v>496</v>
      </c>
      <c r="AP72" t="s">
        <v>496</v>
      </c>
      <c r="AQ72" t="s">
        <v>47</v>
      </c>
      <c r="AR72" s="2" t="str">
        <f>HYPERLINK("https://keepa.com/#!product/1-B0C15VLYPC", "https://keepa.com/#!product/1-B0C15VLYPC")</f>
        <v>https://keepa.com/#!product/1-B0C15VLYPC</v>
      </c>
      <c r="AS72" s="2" t="str">
        <f>HYPERLINK("https://camelcamelcamel.com/search?sq=B0C15VLYPC", "https://camelcamelcamel.com/search?sq=B0C15VLYPC")</f>
        <v>https://camelcamelcamel.com/search?sq=B0C15VLYPC</v>
      </c>
      <c r="AT72" t="s">
        <v>51</v>
      </c>
      <c r="AU72" s="9">
        <v>46261.994883226806</v>
      </c>
    </row>
    <row r="73" spans="1:47" x14ac:dyDescent="0.2">
      <c r="A73" t="s">
        <v>499</v>
      </c>
      <c r="B73" t="s">
        <v>234</v>
      </c>
      <c r="C73" t="s">
        <v>47</v>
      </c>
      <c r="D73" t="s">
        <v>500</v>
      </c>
      <c r="E73" t="s">
        <v>173</v>
      </c>
      <c r="F73" t="s">
        <v>47</v>
      </c>
      <c r="G73" t="s">
        <v>61</v>
      </c>
      <c r="H73" s="2" t="str">
        <f>HYPERLINK("https://sellercentral.amazon.com/hz/approvalrequest/restrictions/approve?asin=B0C2TN3FZR", "https://sellercentral.amazon.com/hz/approvalrequest/restrictions/approve?asin=B0C2TN3FZR")</f>
        <v>https://sellercentral.amazon.com/hz/approvalrequest/restrictions/approve?asin=B0C2TN3FZR</v>
      </c>
      <c r="I73" t="s">
        <v>501</v>
      </c>
      <c r="J73">
        <v>1</v>
      </c>
      <c r="K73" s="2" t="str">
        <f>HYPERLINK("https://www.amazon.com/dp/B0C2TN3FZR", "https://www.amazon.com/dp/B0C2TN3FZR")</f>
        <v>https://www.amazon.com/dp/B0C2TN3FZR</v>
      </c>
      <c r="L73" s="3">
        <v>88</v>
      </c>
      <c r="M73" s="12">
        <v>-1.04</v>
      </c>
      <c r="N73" s="13">
        <v>-7.4299999999999991E-2</v>
      </c>
      <c r="O73" s="13">
        <v>-0.10949999999999999</v>
      </c>
      <c r="P73" t="s">
        <v>49</v>
      </c>
      <c r="Q73" t="s">
        <v>50</v>
      </c>
      <c r="R73" s="6">
        <v>101999</v>
      </c>
      <c r="S73" s="7">
        <v>9.5</v>
      </c>
      <c r="T73" s="7">
        <v>15.55</v>
      </c>
      <c r="U73" s="12">
        <v>14</v>
      </c>
      <c r="V73" s="7">
        <v>14</v>
      </c>
      <c r="W73">
        <v>16.989999999999998</v>
      </c>
      <c r="X73">
        <v>14</v>
      </c>
      <c r="Y73" s="7">
        <v>2.1</v>
      </c>
      <c r="Z73">
        <v>0</v>
      </c>
      <c r="AA73" s="7">
        <v>3.44</v>
      </c>
      <c r="AB73" s="7">
        <v>5.54</v>
      </c>
      <c r="AC73" s="7">
        <v>8.4600000000000009</v>
      </c>
      <c r="AD73" s="8">
        <v>0</v>
      </c>
      <c r="AE73" s="7">
        <v>0</v>
      </c>
      <c r="AF73" s="7">
        <v>0</v>
      </c>
      <c r="AG73" t="s">
        <v>502</v>
      </c>
      <c r="AH73" s="7">
        <v>0.04</v>
      </c>
      <c r="AI73">
        <v>2</v>
      </c>
      <c r="AJ73">
        <v>1</v>
      </c>
      <c r="AK73">
        <v>1</v>
      </c>
      <c r="AL73">
        <v>1</v>
      </c>
      <c r="AM73" t="s">
        <v>173</v>
      </c>
      <c r="AN73" t="s">
        <v>503</v>
      </c>
      <c r="AO73" t="s">
        <v>500</v>
      </c>
      <c r="AP73" t="s">
        <v>500</v>
      </c>
      <c r="AQ73" t="s">
        <v>47</v>
      </c>
      <c r="AR73" s="2" t="str">
        <f>HYPERLINK("https://keepa.com/#!product/1-B0C2TN3FZR", "https://keepa.com/#!product/1-B0C2TN3FZR")</f>
        <v>https://keepa.com/#!product/1-B0C2TN3FZR</v>
      </c>
      <c r="AS73" s="2" t="str">
        <f>HYPERLINK("https://camelcamelcamel.com/search?sq=B0C2TN3FZR", "https://camelcamelcamel.com/search?sq=B0C2TN3FZR")</f>
        <v>https://camelcamelcamel.com/search?sq=B0C2TN3FZR</v>
      </c>
      <c r="AT73" t="s">
        <v>51</v>
      </c>
      <c r="AU73" s="9">
        <v>46261.994883226726</v>
      </c>
    </row>
    <row r="74" spans="1:47" x14ac:dyDescent="0.2">
      <c r="A74" t="s">
        <v>504</v>
      </c>
      <c r="B74" t="s">
        <v>51</v>
      </c>
      <c r="C74" t="s">
        <v>47</v>
      </c>
      <c r="D74" t="s">
        <v>137</v>
      </c>
      <c r="E74" t="s">
        <v>505</v>
      </c>
      <c r="F74" t="s">
        <v>47</v>
      </c>
      <c r="G74" t="s">
        <v>61</v>
      </c>
      <c r="H74" s="2" t="str">
        <f>HYPERLINK("https://sellercentral.amazon.com/hz/approvalrequest/restrictions/approve?asin=B0C3VHZWJ9", "https://sellercentral.amazon.com/hz/approvalrequest/restrictions/approve?asin=B0C3VHZWJ9")</f>
        <v>https://sellercentral.amazon.com/hz/approvalrequest/restrictions/approve?asin=B0C3VHZWJ9</v>
      </c>
      <c r="I74" t="s">
        <v>506</v>
      </c>
      <c r="J74">
        <v>1</v>
      </c>
      <c r="K74" s="2" t="str">
        <f>HYPERLINK("https://www.amazon.com/dp/B0C3VHZWJ9", "https://www.amazon.com/dp/B0C3VHZWJ9")</f>
        <v>https://www.amazon.com/dp/B0C3VHZWJ9</v>
      </c>
      <c r="L74" s="10">
        <v>5</v>
      </c>
      <c r="P74" t="s">
        <v>49</v>
      </c>
      <c r="Q74" t="s">
        <v>75</v>
      </c>
      <c r="S74" s="7">
        <v>13.4</v>
      </c>
      <c r="Z74">
        <v>0</v>
      </c>
      <c r="AF74" s="7">
        <v>0</v>
      </c>
      <c r="AG74" t="s">
        <v>51</v>
      </c>
      <c r="AI74">
        <v>0</v>
      </c>
      <c r="AJ74">
        <v>0</v>
      </c>
      <c r="AK74">
        <v>0</v>
      </c>
      <c r="AL74">
        <v>0</v>
      </c>
      <c r="AM74" t="s">
        <v>51</v>
      </c>
      <c r="AN74" t="s">
        <v>51</v>
      </c>
      <c r="AO74" t="s">
        <v>51</v>
      </c>
      <c r="AP74" t="s">
        <v>142</v>
      </c>
      <c r="AQ74" t="s">
        <v>47</v>
      </c>
      <c r="AR74" s="2" t="str">
        <f>HYPERLINK("https://keepa.com/#!product/1-B0C3VHZWJ9", "https://keepa.com/#!product/1-B0C3VHZWJ9")</f>
        <v>https://keepa.com/#!product/1-B0C3VHZWJ9</v>
      </c>
      <c r="AS74" s="2" t="str">
        <f>HYPERLINK("https://camelcamelcamel.com/search?sq=B0C3VHZWJ9", "https://camelcamelcamel.com/search?sq=B0C3VHZWJ9")</f>
        <v>https://camelcamelcamel.com/search?sq=B0C3VHZWJ9</v>
      </c>
      <c r="AT74" t="s">
        <v>51</v>
      </c>
      <c r="AU74" s="9">
        <v>46261.994883226813</v>
      </c>
    </row>
    <row r="75" spans="1:47" x14ac:dyDescent="0.2">
      <c r="A75" t="s">
        <v>507</v>
      </c>
      <c r="B75" t="s">
        <v>508</v>
      </c>
      <c r="C75" t="s">
        <v>47</v>
      </c>
      <c r="D75" t="s">
        <v>509</v>
      </c>
      <c r="E75" t="s">
        <v>255</v>
      </c>
      <c r="F75" t="s">
        <v>47</v>
      </c>
      <c r="G75" t="s">
        <v>61</v>
      </c>
      <c r="H75" s="2" t="str">
        <f>HYPERLINK("https://sellercentral.amazon.com/hz/approvalrequest/restrictions/approve?asin=B0C7WLWNC8", "https://sellercentral.amazon.com/hz/approvalrequest/restrictions/approve?asin=B0C7WLWNC8")</f>
        <v>https://sellercentral.amazon.com/hz/approvalrequest/restrictions/approve?asin=B0C7WLWNC8</v>
      </c>
      <c r="I75" t="s">
        <v>510</v>
      </c>
      <c r="J75">
        <v>1</v>
      </c>
      <c r="K75" s="2" t="str">
        <f>HYPERLINK("https://www.amazon.com/dp/B0C7WLWNC8", "https://www.amazon.com/dp/B0C7WLWNC8")</f>
        <v>https://www.amazon.com/dp/B0C7WLWNC8</v>
      </c>
      <c r="L75" s="11">
        <v>47</v>
      </c>
      <c r="M75" s="4">
        <v>4.33</v>
      </c>
      <c r="N75" s="5">
        <v>0.1139</v>
      </c>
      <c r="O75" s="5">
        <v>0.1797</v>
      </c>
      <c r="P75" t="s">
        <v>49</v>
      </c>
      <c r="Q75" t="s">
        <v>50</v>
      </c>
      <c r="R75" s="6">
        <v>146235</v>
      </c>
      <c r="S75" s="7">
        <v>24.1</v>
      </c>
      <c r="T75" s="7">
        <v>33.229999999999997</v>
      </c>
      <c r="U75" s="4">
        <v>38</v>
      </c>
      <c r="V75" s="7">
        <v>38</v>
      </c>
      <c r="W75">
        <v>38</v>
      </c>
      <c r="X75">
        <v>38</v>
      </c>
      <c r="Y75" s="7">
        <v>5.7</v>
      </c>
      <c r="Z75">
        <v>0</v>
      </c>
      <c r="AA75" s="7">
        <v>3.87</v>
      </c>
      <c r="AB75" s="7">
        <v>9.57</v>
      </c>
      <c r="AC75" s="7">
        <v>28.43</v>
      </c>
      <c r="AD75" s="8">
        <v>0</v>
      </c>
      <c r="AE75" s="7">
        <v>0</v>
      </c>
      <c r="AF75" s="7">
        <v>0</v>
      </c>
      <c r="AG75" t="s">
        <v>511</v>
      </c>
      <c r="AH75" s="7">
        <v>0.18</v>
      </c>
      <c r="AI75">
        <v>8</v>
      </c>
      <c r="AJ75">
        <v>5</v>
      </c>
      <c r="AK75">
        <v>3</v>
      </c>
      <c r="AL75">
        <v>3</v>
      </c>
      <c r="AM75" t="s">
        <v>395</v>
      </c>
      <c r="AN75" t="s">
        <v>512</v>
      </c>
      <c r="AO75" t="s">
        <v>513</v>
      </c>
      <c r="AP75" t="s">
        <v>514</v>
      </c>
      <c r="AQ75" t="s">
        <v>47</v>
      </c>
      <c r="AR75" s="2" t="str">
        <f>HYPERLINK("https://keepa.com/#!product/1-B0C7WLWNC8", "https://keepa.com/#!product/1-B0C7WLWNC8")</f>
        <v>https://keepa.com/#!product/1-B0C7WLWNC8</v>
      </c>
      <c r="AS75" s="2" t="str">
        <f>HYPERLINK("https://camelcamelcamel.com/search?sq=B0C7WLWNC8", "https://camelcamelcamel.com/search?sq=B0C7WLWNC8")</f>
        <v>https://camelcamelcamel.com/search?sq=B0C7WLWNC8</v>
      </c>
      <c r="AT75" t="s">
        <v>51</v>
      </c>
      <c r="AU75" s="9">
        <v>46261.994883226704</v>
      </c>
    </row>
    <row r="76" spans="1:47" x14ac:dyDescent="0.2">
      <c r="A76" t="s">
        <v>515</v>
      </c>
      <c r="B76" t="s">
        <v>51</v>
      </c>
      <c r="C76" t="s">
        <v>47</v>
      </c>
      <c r="D76" t="s">
        <v>516</v>
      </c>
      <c r="E76" t="s">
        <v>436</v>
      </c>
      <c r="F76" t="s">
        <v>47</v>
      </c>
      <c r="G76" t="s">
        <v>48</v>
      </c>
      <c r="I76" t="s">
        <v>517</v>
      </c>
      <c r="J76">
        <v>1</v>
      </c>
      <c r="K76" s="2" t="str">
        <f>HYPERLINK("https://www.amazon.com/dp/B0C81JS33Y", "https://www.amazon.com/dp/B0C81JS33Y")</f>
        <v>https://www.amazon.com/dp/B0C81JS33Y</v>
      </c>
      <c r="L76" s="10">
        <v>5</v>
      </c>
      <c r="P76" t="s">
        <v>49</v>
      </c>
      <c r="Q76" t="s">
        <v>75</v>
      </c>
      <c r="S76" s="7">
        <v>23.5</v>
      </c>
      <c r="Z76">
        <v>0</v>
      </c>
      <c r="AF76" s="7">
        <v>0</v>
      </c>
      <c r="AG76" t="s">
        <v>518</v>
      </c>
      <c r="AH76" s="7">
        <v>0.13</v>
      </c>
      <c r="AI76">
        <v>0</v>
      </c>
      <c r="AJ76">
        <v>0</v>
      </c>
      <c r="AK76">
        <v>0</v>
      </c>
      <c r="AL76">
        <v>0</v>
      </c>
      <c r="AM76" t="s">
        <v>51</v>
      </c>
      <c r="AN76" t="s">
        <v>519</v>
      </c>
      <c r="AO76" t="s">
        <v>51</v>
      </c>
      <c r="AP76" t="s">
        <v>516</v>
      </c>
      <c r="AQ76" t="s">
        <v>47</v>
      </c>
      <c r="AR76" s="2" t="str">
        <f>HYPERLINK("https://keepa.com/#!product/1-B0C81JS33Y", "https://keepa.com/#!product/1-B0C81JS33Y")</f>
        <v>https://keepa.com/#!product/1-B0C81JS33Y</v>
      </c>
      <c r="AS76" s="2" t="str">
        <f>HYPERLINK("https://camelcamelcamel.com/search?sq=B0C81JS33Y", "https://camelcamelcamel.com/search?sq=B0C81JS33Y")</f>
        <v>https://camelcamelcamel.com/search?sq=B0C81JS33Y</v>
      </c>
      <c r="AT76" t="s">
        <v>51</v>
      </c>
      <c r="AU76" s="9">
        <v>46261.994883226609</v>
      </c>
    </row>
    <row r="77" spans="1:47" x14ac:dyDescent="0.2">
      <c r="A77" t="s">
        <v>520</v>
      </c>
      <c r="B77" t="s">
        <v>521</v>
      </c>
      <c r="C77" t="s">
        <v>47</v>
      </c>
      <c r="D77" t="s">
        <v>522</v>
      </c>
      <c r="E77" t="s">
        <v>173</v>
      </c>
      <c r="F77" t="s">
        <v>47</v>
      </c>
      <c r="G77" t="s">
        <v>61</v>
      </c>
      <c r="H77" s="2" t="str">
        <f>HYPERLINK("https://sellercentral.amazon.com/hz/approvalrequest/restrictions/approve?asin=B0C8H6P4KN", "https://sellercentral.amazon.com/hz/approvalrequest/restrictions/approve?asin=B0C8H6P4KN")</f>
        <v>https://sellercentral.amazon.com/hz/approvalrequest/restrictions/approve?asin=B0C8H6P4KN</v>
      </c>
      <c r="I77" t="s">
        <v>523</v>
      </c>
      <c r="J77">
        <v>1</v>
      </c>
      <c r="K77" s="2" t="str">
        <f>HYPERLINK("https://www.amazon.com/dp/B0C8H6P4KN", "https://www.amazon.com/dp/B0C8H6P4KN")</f>
        <v>https://www.amazon.com/dp/B0C8H6P4KN</v>
      </c>
      <c r="L77" s="3">
        <v>614</v>
      </c>
      <c r="M77" s="12">
        <v>-0.04</v>
      </c>
      <c r="N77" s="13">
        <v>-2.8999999999999998E-3</v>
      </c>
      <c r="O77" s="13">
        <v>-4.6999999999999993E-3</v>
      </c>
      <c r="P77" t="s">
        <v>49</v>
      </c>
      <c r="Q77" t="s">
        <v>50</v>
      </c>
      <c r="R77" s="6">
        <v>26462</v>
      </c>
      <c r="S77" s="7">
        <v>8.5</v>
      </c>
      <c r="T77" s="7">
        <v>14.37</v>
      </c>
      <c r="U77" s="12">
        <v>14</v>
      </c>
      <c r="V77" s="7">
        <v>14</v>
      </c>
      <c r="W77">
        <v>14</v>
      </c>
      <c r="Y77" s="7">
        <v>2.1</v>
      </c>
      <c r="Z77">
        <v>0</v>
      </c>
      <c r="AA77" s="7">
        <v>3.44</v>
      </c>
      <c r="AB77" s="7">
        <v>5.54</v>
      </c>
      <c r="AC77" s="7">
        <v>8.4600000000000009</v>
      </c>
      <c r="AD77" s="8">
        <v>0</v>
      </c>
      <c r="AE77" s="7">
        <v>0</v>
      </c>
      <c r="AF77" s="7">
        <v>0</v>
      </c>
      <c r="AG77" t="s">
        <v>524</v>
      </c>
      <c r="AH77" s="7">
        <v>0.02</v>
      </c>
      <c r="AI77">
        <v>4</v>
      </c>
      <c r="AJ77">
        <v>4</v>
      </c>
      <c r="AK77">
        <v>0</v>
      </c>
      <c r="AL77">
        <v>3</v>
      </c>
      <c r="AM77" t="s">
        <v>173</v>
      </c>
      <c r="AN77" t="s">
        <v>525</v>
      </c>
      <c r="AO77" t="s">
        <v>522</v>
      </c>
      <c r="AP77" t="s">
        <v>522</v>
      </c>
      <c r="AQ77" t="s">
        <v>47</v>
      </c>
      <c r="AR77" s="2" t="str">
        <f>HYPERLINK("https://keepa.com/#!product/1-B0C8H6P4KN", "https://keepa.com/#!product/1-B0C8H6P4KN")</f>
        <v>https://keepa.com/#!product/1-B0C8H6P4KN</v>
      </c>
      <c r="AS77" s="2" t="str">
        <f>HYPERLINK("https://camelcamelcamel.com/search?sq=B0C8H6P4KN", "https://camelcamelcamel.com/search?sq=B0C8H6P4KN")</f>
        <v>https://camelcamelcamel.com/search?sq=B0C8H6P4KN</v>
      </c>
      <c r="AT77" t="s">
        <v>51</v>
      </c>
      <c r="AU77" s="9">
        <v>46261.99488322666</v>
      </c>
    </row>
    <row r="78" spans="1:47" x14ac:dyDescent="0.2">
      <c r="A78" t="s">
        <v>526</v>
      </c>
      <c r="B78" t="s">
        <v>521</v>
      </c>
      <c r="C78" t="s">
        <v>47</v>
      </c>
      <c r="D78" t="s">
        <v>527</v>
      </c>
      <c r="E78" t="s">
        <v>173</v>
      </c>
      <c r="F78" t="s">
        <v>47</v>
      </c>
      <c r="G78" t="s">
        <v>61</v>
      </c>
      <c r="H78" s="2" t="str">
        <f>HYPERLINK("https://sellercentral.amazon.com/hz/approvalrequest/restrictions/approve?asin=B0C8H7LWJF", "https://sellercentral.amazon.com/hz/approvalrequest/restrictions/approve?asin=B0C8H7LWJF")</f>
        <v>https://sellercentral.amazon.com/hz/approvalrequest/restrictions/approve?asin=B0C8H7LWJF</v>
      </c>
      <c r="I78" t="s">
        <v>528</v>
      </c>
      <c r="J78">
        <v>1</v>
      </c>
      <c r="K78" s="2" t="str">
        <f>HYPERLINK("https://www.amazon.com/dp/B0C8H7LWJF", "https://www.amazon.com/dp/B0C8H7LWJF")</f>
        <v>https://www.amazon.com/dp/B0C8H7LWJF</v>
      </c>
      <c r="L78" s="3">
        <v>614</v>
      </c>
      <c r="M78" s="12">
        <v>-0.76</v>
      </c>
      <c r="N78" s="13">
        <v>-5.7800000000000004E-2</v>
      </c>
      <c r="O78" s="13">
        <v>-8.9399999999999993E-2</v>
      </c>
      <c r="P78" t="s">
        <v>49</v>
      </c>
      <c r="Q78" t="s">
        <v>50</v>
      </c>
      <c r="R78" s="6">
        <v>26462</v>
      </c>
      <c r="S78" s="7">
        <v>8.5</v>
      </c>
      <c r="T78" s="7">
        <v>14.37</v>
      </c>
      <c r="U78" s="12">
        <v>13.15</v>
      </c>
      <c r="V78" s="7">
        <v>13.15</v>
      </c>
      <c r="W78">
        <v>13.1</v>
      </c>
      <c r="X78">
        <v>21.52</v>
      </c>
      <c r="Y78" s="7">
        <v>1.97</v>
      </c>
      <c r="Z78">
        <v>0</v>
      </c>
      <c r="AA78" s="7">
        <v>3.44</v>
      </c>
      <c r="AB78" s="7">
        <v>5.41</v>
      </c>
      <c r="AC78" s="7">
        <v>7.74</v>
      </c>
      <c r="AD78" s="8">
        <v>0</v>
      </c>
      <c r="AE78" s="7">
        <v>0</v>
      </c>
      <c r="AF78" s="7">
        <v>0</v>
      </c>
      <c r="AG78" t="s">
        <v>529</v>
      </c>
      <c r="AH78" s="7">
        <v>0.02</v>
      </c>
      <c r="AI78">
        <v>7</v>
      </c>
      <c r="AJ78">
        <v>6</v>
      </c>
      <c r="AK78">
        <v>1</v>
      </c>
      <c r="AL78">
        <v>3</v>
      </c>
      <c r="AM78" t="s">
        <v>403</v>
      </c>
      <c r="AN78" t="s">
        <v>530</v>
      </c>
      <c r="AO78" t="s">
        <v>527</v>
      </c>
      <c r="AP78" t="s">
        <v>527</v>
      </c>
      <c r="AQ78" t="s">
        <v>47</v>
      </c>
      <c r="AR78" s="2" t="str">
        <f>HYPERLINK("https://keepa.com/#!product/1-B0C8H7LWJF", "https://keepa.com/#!product/1-B0C8H7LWJF")</f>
        <v>https://keepa.com/#!product/1-B0C8H7LWJF</v>
      </c>
      <c r="AS78" s="2" t="str">
        <f>HYPERLINK("https://camelcamelcamel.com/search?sq=B0C8H7LWJF", "https://camelcamelcamel.com/search?sq=B0C8H7LWJF")</f>
        <v>https://camelcamelcamel.com/search?sq=B0C8H7LWJF</v>
      </c>
      <c r="AT78" t="s">
        <v>51</v>
      </c>
      <c r="AU78" s="9">
        <v>46261.994883226645</v>
      </c>
    </row>
    <row r="79" spans="1:47" x14ac:dyDescent="0.2">
      <c r="A79" t="s">
        <v>531</v>
      </c>
      <c r="B79" t="s">
        <v>521</v>
      </c>
      <c r="C79" t="s">
        <v>47</v>
      </c>
      <c r="D79" t="s">
        <v>532</v>
      </c>
      <c r="E79" t="s">
        <v>173</v>
      </c>
      <c r="F79" t="s">
        <v>47</v>
      </c>
      <c r="G79" t="s">
        <v>61</v>
      </c>
      <c r="H79" s="2" t="str">
        <f>HYPERLINK("https://sellercentral.amazon.com/hz/approvalrequest/restrictions/approve?asin=B0C8H7RG5N", "https://sellercentral.amazon.com/hz/approvalrequest/restrictions/approve?asin=B0C8H7RG5N")</f>
        <v>https://sellercentral.amazon.com/hz/approvalrequest/restrictions/approve?asin=B0C8H7RG5N</v>
      </c>
      <c r="I79" t="s">
        <v>533</v>
      </c>
      <c r="J79">
        <v>1</v>
      </c>
      <c r="K79" s="2" t="str">
        <f>HYPERLINK("https://www.amazon.com/dp/B0C8H7RG5N", "https://www.amazon.com/dp/B0C8H7RG5N")</f>
        <v>https://www.amazon.com/dp/B0C8H7RG5N</v>
      </c>
      <c r="L79" s="3">
        <v>614</v>
      </c>
      <c r="M79" s="4">
        <v>4.13</v>
      </c>
      <c r="N79" s="5">
        <v>0.20660000000000001</v>
      </c>
      <c r="O79" s="5">
        <v>0.45890000000000003</v>
      </c>
      <c r="P79" t="s">
        <v>49</v>
      </c>
      <c r="Q79" t="s">
        <v>50</v>
      </c>
      <c r="R79" s="6">
        <v>26462</v>
      </c>
      <c r="S79" s="7">
        <v>9</v>
      </c>
      <c r="T79" s="7">
        <v>15.45</v>
      </c>
      <c r="U79" s="4">
        <v>19.989999999999998</v>
      </c>
      <c r="V79" s="7">
        <v>19.989999999999998</v>
      </c>
      <c r="X79">
        <v>19.989999999999998</v>
      </c>
      <c r="Y79" s="7">
        <v>3</v>
      </c>
      <c r="Z79">
        <v>0</v>
      </c>
      <c r="AA79" s="7">
        <v>3.86</v>
      </c>
      <c r="AB79" s="7">
        <v>6.86</v>
      </c>
      <c r="AC79" s="7">
        <v>13.13</v>
      </c>
      <c r="AD79" s="8">
        <v>0</v>
      </c>
      <c r="AE79" s="7">
        <v>0</v>
      </c>
      <c r="AF79" s="7">
        <v>0</v>
      </c>
      <c r="AG79" t="s">
        <v>534</v>
      </c>
      <c r="AH79" s="7">
        <v>0.02</v>
      </c>
      <c r="AI79">
        <v>1</v>
      </c>
      <c r="AJ79">
        <v>0</v>
      </c>
      <c r="AK79">
        <v>1</v>
      </c>
      <c r="AL79">
        <v>1</v>
      </c>
      <c r="AM79" t="s">
        <v>173</v>
      </c>
      <c r="AN79" t="s">
        <v>162</v>
      </c>
      <c r="AO79" t="s">
        <v>532</v>
      </c>
      <c r="AP79" t="s">
        <v>532</v>
      </c>
      <c r="AQ79" t="s">
        <v>47</v>
      </c>
      <c r="AR79" s="2" t="str">
        <f>HYPERLINK("https://keepa.com/#!product/1-B0C8H7RG5N", "https://keepa.com/#!product/1-B0C8H7RG5N")</f>
        <v>https://keepa.com/#!product/1-B0C8H7RG5N</v>
      </c>
      <c r="AS79" s="2" t="str">
        <f>HYPERLINK("https://camelcamelcamel.com/search?sq=B0C8H7RG5N", "https://camelcamelcamel.com/search?sq=B0C8H7RG5N")</f>
        <v>https://camelcamelcamel.com/search?sq=B0C8H7RG5N</v>
      </c>
      <c r="AT79" t="s">
        <v>51</v>
      </c>
      <c r="AU79" s="9">
        <v>46261.99488322658</v>
      </c>
    </row>
    <row r="80" spans="1:47" x14ac:dyDescent="0.2">
      <c r="A80" t="s">
        <v>535</v>
      </c>
      <c r="B80" t="s">
        <v>51</v>
      </c>
      <c r="C80" t="s">
        <v>47</v>
      </c>
      <c r="D80" t="s">
        <v>536</v>
      </c>
      <c r="E80" t="s">
        <v>258</v>
      </c>
      <c r="F80" t="s">
        <v>47</v>
      </c>
      <c r="G80" t="s">
        <v>61</v>
      </c>
      <c r="H80" s="2" t="str">
        <f>HYPERLINK("https://sellercentral.amazon.com/hz/approvalrequest/restrictions/approve?asin=B0CDXXQTV8", "https://sellercentral.amazon.com/hz/approvalrequest/restrictions/approve?asin=B0CDXXQTV8")</f>
        <v>https://sellercentral.amazon.com/hz/approvalrequest/restrictions/approve?asin=B0CDXXQTV8</v>
      </c>
      <c r="I80" t="s">
        <v>537</v>
      </c>
      <c r="J80">
        <v>1</v>
      </c>
      <c r="K80" s="2" t="str">
        <f>HYPERLINK("https://www.amazon.com/dp/B0CDXXQTV8", "https://www.amazon.com/dp/B0CDXXQTV8")</f>
        <v>https://www.amazon.com/dp/B0CDXXQTV8</v>
      </c>
      <c r="L80" s="10">
        <v>5</v>
      </c>
      <c r="M80" s="14">
        <v>3.59</v>
      </c>
      <c r="N80" s="5">
        <v>0.13300000000000001</v>
      </c>
      <c r="O80" s="5">
        <v>0.2316</v>
      </c>
      <c r="P80" t="s">
        <v>49</v>
      </c>
      <c r="Q80" t="s">
        <v>50</v>
      </c>
      <c r="R80" s="6">
        <v>265004</v>
      </c>
      <c r="S80" s="7">
        <v>15.5</v>
      </c>
      <c r="T80" s="7">
        <v>23.1</v>
      </c>
      <c r="U80" s="4">
        <v>27</v>
      </c>
      <c r="W80">
        <v>27</v>
      </c>
      <c r="X80">
        <v>26.85</v>
      </c>
      <c r="Y80" s="7">
        <v>4.05</v>
      </c>
      <c r="Z80">
        <v>0</v>
      </c>
      <c r="AA80" s="7">
        <v>3.86</v>
      </c>
      <c r="AB80" s="7">
        <v>7.91</v>
      </c>
      <c r="AC80" s="7">
        <v>19.09</v>
      </c>
      <c r="AD80" s="8">
        <v>0</v>
      </c>
      <c r="AE80" s="7">
        <v>0</v>
      </c>
      <c r="AF80" s="7">
        <v>0</v>
      </c>
      <c r="AG80" t="s">
        <v>538</v>
      </c>
      <c r="AH80" s="7">
        <v>0.09</v>
      </c>
      <c r="AI80">
        <v>8</v>
      </c>
      <c r="AJ80">
        <v>4</v>
      </c>
      <c r="AK80">
        <v>4</v>
      </c>
      <c r="AL80">
        <v>0</v>
      </c>
      <c r="AM80" t="s">
        <v>258</v>
      </c>
      <c r="AN80" t="s">
        <v>269</v>
      </c>
      <c r="AO80" t="s">
        <v>539</v>
      </c>
      <c r="AP80" t="s">
        <v>539</v>
      </c>
      <c r="AQ80" t="s">
        <v>47</v>
      </c>
      <c r="AR80" s="2" t="str">
        <f>HYPERLINK("https://keepa.com/#!product/1-B0CDXXQTV8", "https://keepa.com/#!product/1-B0CDXXQTV8")</f>
        <v>https://keepa.com/#!product/1-B0CDXXQTV8</v>
      </c>
      <c r="AS80" s="2" t="str">
        <f>HYPERLINK("https://camelcamelcamel.com/search?sq=B0CDXXQTV8", "https://camelcamelcamel.com/search?sq=B0CDXXQTV8")</f>
        <v>https://camelcamelcamel.com/search?sq=B0CDXXQTV8</v>
      </c>
      <c r="AT80" t="s">
        <v>51</v>
      </c>
      <c r="AU80" s="9">
        <v>46261.994883226682</v>
      </c>
    </row>
    <row r="81" spans="1:47" x14ac:dyDescent="0.2">
      <c r="A81" t="s">
        <v>540</v>
      </c>
      <c r="B81" t="s">
        <v>541</v>
      </c>
      <c r="C81" t="s">
        <v>47</v>
      </c>
      <c r="D81" t="s">
        <v>542</v>
      </c>
      <c r="E81" t="s">
        <v>56</v>
      </c>
      <c r="F81" t="s">
        <v>47</v>
      </c>
      <c r="G81" t="s">
        <v>48</v>
      </c>
      <c r="I81" t="s">
        <v>543</v>
      </c>
      <c r="J81">
        <v>1</v>
      </c>
      <c r="K81" s="2" t="str">
        <f>HYPERLINK("https://www.amazon.com/dp/B0CGXRCN6Y", "https://www.amazon.com/dp/B0CGXRCN6Y")</f>
        <v>https://www.amazon.com/dp/B0CGXRCN6Y</v>
      </c>
      <c r="L81" s="3">
        <v>92</v>
      </c>
      <c r="M81" s="4">
        <v>13.62</v>
      </c>
      <c r="N81" s="5">
        <v>0.34060000000000001</v>
      </c>
      <c r="O81" s="5">
        <v>0.82550000000000001</v>
      </c>
      <c r="P81" t="s">
        <v>49</v>
      </c>
      <c r="Q81" t="s">
        <v>50</v>
      </c>
      <c r="R81" s="6">
        <v>100890</v>
      </c>
      <c r="S81" s="7">
        <v>16.5</v>
      </c>
      <c r="T81" s="7">
        <v>24.29</v>
      </c>
      <c r="U81" s="4">
        <v>39.99</v>
      </c>
      <c r="W81">
        <v>39.99</v>
      </c>
      <c r="X81">
        <v>39.950000000000003</v>
      </c>
      <c r="Y81" s="7">
        <v>6</v>
      </c>
      <c r="Z81">
        <v>0</v>
      </c>
      <c r="AA81" s="7">
        <v>3.87</v>
      </c>
      <c r="AB81" s="7">
        <v>9.8699999999999992</v>
      </c>
      <c r="AC81" s="7">
        <v>30.12</v>
      </c>
      <c r="AD81" s="8">
        <v>0</v>
      </c>
      <c r="AE81" s="7">
        <v>0</v>
      </c>
      <c r="AF81" s="7">
        <v>0</v>
      </c>
      <c r="AG81" t="s">
        <v>544</v>
      </c>
      <c r="AH81" s="7">
        <v>0.09</v>
      </c>
      <c r="AI81">
        <v>8</v>
      </c>
      <c r="AJ81">
        <v>3</v>
      </c>
      <c r="AK81">
        <v>5</v>
      </c>
      <c r="AL81">
        <v>0</v>
      </c>
      <c r="AM81" t="s">
        <v>56</v>
      </c>
      <c r="AN81" t="s">
        <v>545</v>
      </c>
      <c r="AO81" t="s">
        <v>546</v>
      </c>
      <c r="AP81" t="s">
        <v>547</v>
      </c>
      <c r="AQ81" t="s">
        <v>47</v>
      </c>
      <c r="AR81" s="2" t="str">
        <f>HYPERLINK("https://keepa.com/#!product/1-B0CGXRCN6Y", "https://keepa.com/#!product/1-B0CGXRCN6Y")</f>
        <v>https://keepa.com/#!product/1-B0CGXRCN6Y</v>
      </c>
      <c r="AS81" s="2" t="str">
        <f>HYPERLINK("https://camelcamelcamel.com/search?sq=B0CGXRCN6Y", "https://camelcamelcamel.com/search?sq=B0CGXRCN6Y")</f>
        <v>https://camelcamelcamel.com/search?sq=B0CGXRCN6Y</v>
      </c>
      <c r="AT81" t="s">
        <v>51</v>
      </c>
      <c r="AU81" s="9">
        <v>46261.994883226675</v>
      </c>
    </row>
    <row r="82" spans="1:47" x14ac:dyDescent="0.2">
      <c r="A82" t="s">
        <v>548</v>
      </c>
      <c r="B82" t="s">
        <v>549</v>
      </c>
      <c r="C82" t="s">
        <v>47</v>
      </c>
      <c r="D82" t="s">
        <v>550</v>
      </c>
      <c r="E82" t="s">
        <v>173</v>
      </c>
      <c r="F82" t="s">
        <v>47</v>
      </c>
      <c r="G82" t="s">
        <v>61</v>
      </c>
      <c r="H82" s="2" t="str">
        <f>HYPERLINK("https://sellercentral.amazon.com/hz/approvalrequest/restrictions/approve?asin=B0CP7SY6MC", "https://sellercentral.amazon.com/hz/approvalrequest/restrictions/approve?asin=B0CP7SY6MC")</f>
        <v>https://sellercentral.amazon.com/hz/approvalrequest/restrictions/approve?asin=B0CP7SY6MC</v>
      </c>
      <c r="I82" t="s">
        <v>551</v>
      </c>
      <c r="J82">
        <v>1</v>
      </c>
      <c r="K82" s="2" t="str">
        <f>HYPERLINK("https://www.amazon.com/dp/B0CP7SY6MC", "https://www.amazon.com/dp/B0CP7SY6MC")</f>
        <v>https://www.amazon.com/dp/B0CP7SY6MC</v>
      </c>
      <c r="L82" s="3">
        <v>1513</v>
      </c>
      <c r="M82" s="12">
        <v>-2.66</v>
      </c>
      <c r="N82" s="13">
        <v>-0.2742</v>
      </c>
      <c r="O82" s="13">
        <v>-0.29559999999999997</v>
      </c>
      <c r="P82" t="s">
        <v>49</v>
      </c>
      <c r="Q82" t="s">
        <v>50</v>
      </c>
      <c r="R82" s="6">
        <v>12255</v>
      </c>
      <c r="S82" s="7">
        <v>9</v>
      </c>
      <c r="T82" s="7">
        <v>15.08</v>
      </c>
      <c r="U82" s="12">
        <v>9.6999999999999993</v>
      </c>
      <c r="V82" s="7">
        <v>9.6999999999999993</v>
      </c>
      <c r="W82">
        <v>9.6999999999999993</v>
      </c>
      <c r="Y82" s="7">
        <v>0.78</v>
      </c>
      <c r="Z82">
        <v>0</v>
      </c>
      <c r="AA82" s="7">
        <v>2.58</v>
      </c>
      <c r="AB82" s="7">
        <v>3.36</v>
      </c>
      <c r="AC82" s="7">
        <v>6.34</v>
      </c>
      <c r="AD82" s="8">
        <v>0</v>
      </c>
      <c r="AE82" s="7">
        <v>0</v>
      </c>
      <c r="AF82" s="7">
        <v>0</v>
      </c>
      <c r="AG82" t="s">
        <v>552</v>
      </c>
      <c r="AH82" s="7">
        <v>0.2</v>
      </c>
      <c r="AI82">
        <v>5</v>
      </c>
      <c r="AJ82">
        <v>5</v>
      </c>
      <c r="AK82">
        <v>0</v>
      </c>
      <c r="AL82">
        <v>1</v>
      </c>
      <c r="AM82" t="s">
        <v>173</v>
      </c>
      <c r="AN82" t="s">
        <v>553</v>
      </c>
      <c r="AO82" t="s">
        <v>554</v>
      </c>
      <c r="AP82" t="s">
        <v>554</v>
      </c>
      <c r="AQ82" t="s">
        <v>47</v>
      </c>
      <c r="AR82" s="2" t="str">
        <f>HYPERLINK("https://keepa.com/#!product/1-B0CP7SY6MC", "https://keepa.com/#!product/1-B0CP7SY6MC")</f>
        <v>https://keepa.com/#!product/1-B0CP7SY6MC</v>
      </c>
      <c r="AS82" s="2" t="str">
        <f>HYPERLINK("https://camelcamelcamel.com/search?sq=B0CP7SY6MC", "https://camelcamelcamel.com/search?sq=B0CP7SY6MC")</f>
        <v>https://camelcamelcamel.com/search?sq=B0CP7SY6MC</v>
      </c>
      <c r="AT82" t="s">
        <v>51</v>
      </c>
      <c r="AU82" s="9">
        <v>46261.994883226573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Imtiaz Hossain</cp:lastModifiedBy>
  <dcterms:created xsi:type="dcterms:W3CDTF">2026-09-23T01:47:11Z</dcterms:created>
  <dcterms:modified xsi:type="dcterms:W3CDTF">2026-09-23T02:50:43Z</dcterms:modified>
</cp:coreProperties>
</file>